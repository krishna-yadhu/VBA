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0hnjb\Desktop\test\"/>
    </mc:Choice>
  </mc:AlternateContent>
  <xr:revisionPtr revIDLastSave="0" documentId="13_ncr:1_{67DD2F0D-EC77-44C4-9CD8-41A4E381B90C}" xr6:coauthVersionLast="47" xr6:coauthVersionMax="47" xr10:uidLastSave="{00000000-0000-0000-0000-000000000000}"/>
  <bookViews>
    <workbookView xWindow="-108" yWindow="-108" windowWidth="23256" windowHeight="12576" xr2:uid="{8BAA573A-3DB4-4B23-91DF-D946E1A061DC}"/>
  </bookViews>
  <sheets>
    <sheet name="Values" sheetId="1" r:id="rId1"/>
    <sheet name="PivotTable" sheetId="42" r:id="rId2"/>
    <sheet name="Data" sheetId="17" r:id="rId3"/>
    <sheet name="Reval_PivotTable" sheetId="43" r:id="rId4"/>
    <sheet name="Revalidation" sheetId="25" r:id="rId5"/>
    <sheet name="QC_PivotTable" sheetId="44" r:id="rId6"/>
    <sheet name="QC" sheetId="26" r:id="rId7"/>
  </sheets>
  <definedNames>
    <definedName name="_xlnm._FilterDatabase" localSheetId="2" hidden="1">Data!$A$1:$K$39</definedName>
    <definedName name="_xlnm._FilterDatabase" localSheetId="4" hidden="1">Revalidation!$A$1:$K$53</definedName>
  </definedNames>
  <calcPr calcId="191029"/>
  <pivotCaches>
    <pivotCache cacheId="22" r:id="rId8"/>
    <pivotCache cacheId="27" r:id="rId9"/>
    <pivotCache cacheId="32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12" i="1" l="1"/>
  <c r="Z13" i="1"/>
  <c r="B13" i="1"/>
  <c r="B12" i="1"/>
  <c r="BL13" i="1"/>
  <c r="BL12" i="1"/>
  <c r="BL11" i="1"/>
  <c r="BL10" i="1"/>
  <c r="BL9" i="1"/>
  <c r="BL8" i="1"/>
  <c r="BL7" i="1"/>
  <c r="BL6" i="1"/>
  <c r="BL5" i="1"/>
  <c r="BL4" i="1"/>
  <c r="BL3" i="1"/>
  <c r="BL2" i="1"/>
  <c r="BK13" i="1"/>
  <c r="BK12" i="1"/>
  <c r="BK11" i="1"/>
  <c r="BK10" i="1"/>
  <c r="BK9" i="1"/>
  <c r="BK8" i="1"/>
  <c r="BK7" i="1"/>
  <c r="BK6" i="1"/>
  <c r="BK5" i="1"/>
  <c r="BK4" i="1"/>
  <c r="BK3" i="1"/>
  <c r="BK2" i="1"/>
  <c r="BE13" i="1"/>
  <c r="BE12" i="1"/>
  <c r="BE11" i="1"/>
  <c r="BE10" i="1"/>
  <c r="BE9" i="1"/>
  <c r="BE8" i="1"/>
  <c r="BE7" i="1"/>
  <c r="BE6" i="1"/>
  <c r="BE5" i="1"/>
  <c r="BE4" i="1"/>
  <c r="BE3" i="1"/>
  <c r="BE2" i="1"/>
  <c r="BD13" i="1"/>
  <c r="BD12" i="1"/>
  <c r="BD11" i="1"/>
  <c r="BD10" i="1"/>
  <c r="BD9" i="1"/>
  <c r="BD8" i="1"/>
  <c r="BD7" i="1"/>
  <c r="BD6" i="1"/>
  <c r="BD5" i="1"/>
  <c r="BD4" i="1"/>
  <c r="BD3" i="1"/>
  <c r="BD2" i="1"/>
</calcChain>
</file>

<file path=xl/sharedStrings.xml><?xml version="1.0" encoding="utf-8"?>
<sst xmlns="http://schemas.openxmlformats.org/spreadsheetml/2006/main" count="2611" uniqueCount="436">
  <si>
    <t>Validation</t>
  </si>
  <si>
    <t>Revalidation</t>
  </si>
  <si>
    <t>Ozark</t>
  </si>
  <si>
    <t>Art &amp; Craft</t>
  </si>
  <si>
    <t>Arts Supplies</t>
  </si>
  <si>
    <t>Fabrics, yarn and Thread</t>
  </si>
  <si>
    <t>Hooks and Needles Accessories</t>
  </si>
  <si>
    <t>Quilting Accessories</t>
  </si>
  <si>
    <t>Machines and Cabinet</t>
  </si>
  <si>
    <t>Sewing Accessories</t>
  </si>
  <si>
    <t>Sewing, Knitting and Weaving Kits</t>
  </si>
  <si>
    <t>Weaving Accessories</t>
  </si>
  <si>
    <t>Total</t>
  </si>
  <si>
    <t>CV_3P</t>
  </si>
  <si>
    <t>CV_1P</t>
  </si>
  <si>
    <t>Existing_1P</t>
  </si>
  <si>
    <t>Existing_3P</t>
  </si>
  <si>
    <t>New_1P</t>
  </si>
  <si>
    <t>New_3p</t>
  </si>
  <si>
    <t>Other</t>
  </si>
  <si>
    <t>Pending</t>
  </si>
  <si>
    <t>CATEGORY</t>
  </si>
  <si>
    <t>Work Stream</t>
  </si>
  <si>
    <t>Line Items</t>
  </si>
  <si>
    <t>Associate</t>
  </si>
  <si>
    <t>Validation + Revalidation</t>
  </si>
  <si>
    <t>CVI</t>
  </si>
  <si>
    <t>1P</t>
  </si>
  <si>
    <t>CTS</t>
  </si>
  <si>
    <t>3P</t>
  </si>
  <si>
    <t>New</t>
  </si>
  <si>
    <t>Existing</t>
  </si>
  <si>
    <t xml:space="preserve">Others </t>
  </si>
  <si>
    <t>30 % QC</t>
  </si>
  <si>
    <t>CQ Ops</t>
  </si>
  <si>
    <t>Krishna</t>
  </si>
  <si>
    <t>1p</t>
  </si>
  <si>
    <t>3p</t>
  </si>
  <si>
    <t>Charlotte FC_1p</t>
  </si>
  <si>
    <t>Existing_3p Cold Start</t>
  </si>
  <si>
    <t>Existing_3p High PV</t>
  </si>
  <si>
    <t>3p cold start</t>
  </si>
  <si>
    <t>3p High PV</t>
  </si>
  <si>
    <t>Charlotte FC</t>
  </si>
  <si>
    <t>PTG</t>
  </si>
  <si>
    <t>CVI 1P Item</t>
  </si>
  <si>
    <t>CVI 3P Item</t>
  </si>
  <si>
    <t>Charlotte FC 1P Item</t>
  </si>
  <si>
    <t>Existing 1P Item</t>
  </si>
  <si>
    <t>Existing 3P ColdStart Item</t>
  </si>
  <si>
    <t>Existing 3P High PV Item</t>
  </si>
  <si>
    <t>Existing 3P Item</t>
  </si>
  <si>
    <t>New 1P Item</t>
  </si>
  <si>
    <t>New 3P Item</t>
  </si>
  <si>
    <t>Ozark 1P Item</t>
  </si>
  <si>
    <t>Not Started</t>
  </si>
  <si>
    <t>Art Supplies</t>
  </si>
  <si>
    <t>Fabrics, Yarn, &amp; Thread</t>
  </si>
  <si>
    <t>Hooks &amp; Needles Accessories</t>
  </si>
  <si>
    <t>Machines &amp; Cabinets</t>
  </si>
  <si>
    <t>Sewing, Knitting, &amp; Weaving Kits</t>
  </si>
  <si>
    <t>Normal Production</t>
  </si>
  <si>
    <t>Pending Production</t>
  </si>
  <si>
    <t>QC</t>
  </si>
  <si>
    <t>Inbound</t>
  </si>
  <si>
    <t>Support</t>
  </si>
  <si>
    <t>Ad hoc</t>
  </si>
  <si>
    <t>Vasu</t>
  </si>
  <si>
    <t>Sachin</t>
  </si>
  <si>
    <t>Outbound</t>
  </si>
  <si>
    <t>Normal QC</t>
  </si>
  <si>
    <t>Pending QC</t>
  </si>
  <si>
    <t>Category</t>
  </si>
  <si>
    <t>Follow-up</t>
  </si>
  <si>
    <t>Pending CQ Ops</t>
  </si>
  <si>
    <t>Supplier Communication</t>
  </si>
  <si>
    <t>Revalidation QC Pending</t>
  </si>
  <si>
    <t>Revalidation Production Pending</t>
  </si>
  <si>
    <t>October Deals for Days 2021 1P Item</t>
  </si>
  <si>
    <t>October Deals</t>
  </si>
  <si>
    <t>Assign to</t>
  </si>
  <si>
    <t>Submission ID</t>
  </si>
  <si>
    <t>Product Type Group</t>
  </si>
  <si>
    <t>Product Type</t>
  </si>
  <si>
    <t>Supplier</t>
  </si>
  <si>
    <t>Supplier Code</t>
  </si>
  <si>
    <t>Workstream</t>
  </si>
  <si>
    <t>Work Type</t>
  </si>
  <si>
    <t>Item Status</t>
  </si>
  <si>
    <t>Template</t>
  </si>
  <si>
    <t># OF ITEMS</t>
  </si>
  <si>
    <t>OZ_1P_Art_&amp;_Craft_2020_10_12_504485</t>
  </si>
  <si>
    <t>Coloring Books</t>
  </si>
  <si>
    <t>BENDON PUBLISHING INTERNATIONAL INC</t>
  </si>
  <si>
    <t>504485</t>
  </si>
  <si>
    <t>Jewelry Making &amp; Beading Kits</t>
  </si>
  <si>
    <t>NOTIONS MARKETING CORPORATION</t>
  </si>
  <si>
    <t>48785</t>
  </si>
  <si>
    <t>HORIZON GROUP USA INC</t>
  </si>
  <si>
    <t>553755</t>
  </si>
  <si>
    <t>Stickers</t>
  </si>
  <si>
    <t>Trends International, LLC</t>
  </si>
  <si>
    <t>636222</t>
  </si>
  <si>
    <t>Sewing &amp; Craft Fabric</t>
  </si>
  <si>
    <t>CHINATEX ORIENTAL USA INC</t>
  </si>
  <si>
    <t>508804</t>
  </si>
  <si>
    <t>SHASON INC</t>
  </si>
  <si>
    <t>604145</t>
  </si>
  <si>
    <t>Art Easels</t>
  </si>
  <si>
    <t>Art Boards &amp; Canvas</t>
  </si>
  <si>
    <t>Art &amp; Craft Kits</t>
  </si>
  <si>
    <t>-</t>
  </si>
  <si>
    <t>Yarn</t>
  </si>
  <si>
    <t>Quilting Fabric Assortments</t>
  </si>
  <si>
    <t>MELISSA &amp; DOUG LLC</t>
  </si>
  <si>
    <t>424556</t>
  </si>
  <si>
    <t>Fabric Dyes</t>
  </si>
  <si>
    <t>DUNCAN ENTERPRISES</t>
  </si>
  <si>
    <t>459302</t>
  </si>
  <si>
    <t>Craft Paper</t>
  </si>
  <si>
    <t>Unfinished Wood</t>
  </si>
  <si>
    <t>Craft Vinyl</t>
  </si>
  <si>
    <t>Transfer Paper</t>
  </si>
  <si>
    <t>Craft &amp; Hobby Storage Bags &amp; Cases</t>
  </si>
  <si>
    <t>Art &amp; Craft Styrofoam</t>
  </si>
  <si>
    <t>Stamps &amp; Stamp Sets</t>
  </si>
  <si>
    <t>Photo Albums</t>
  </si>
  <si>
    <t>Art &amp; Craft Tape</t>
  </si>
  <si>
    <t>Tasharina Corp.</t>
  </si>
  <si>
    <t>787341</t>
  </si>
  <si>
    <t>NINGBO QTOP IMPORT AND EXPORT COLTD</t>
  </si>
  <si>
    <t>17994</t>
  </si>
  <si>
    <t>STOREX INDUSTRIES CORPORATION</t>
  </si>
  <si>
    <t>29501</t>
  </si>
  <si>
    <t>Educators Resource, Inc.</t>
  </si>
  <si>
    <t>30492</t>
  </si>
  <si>
    <t>Ingram Book Group LLC</t>
  </si>
  <si>
    <t>38438</t>
  </si>
  <si>
    <t>D&amp;H DISTRIBUTING CO</t>
  </si>
  <si>
    <t>441030</t>
  </si>
  <si>
    <t>Die-Cut Machines</t>
  </si>
  <si>
    <t>Sand Art Supplies</t>
  </si>
  <si>
    <t>Crayons</t>
  </si>
  <si>
    <t>Art Stencils &amp; Templates</t>
  </si>
  <si>
    <t>Art Pencils</t>
  </si>
  <si>
    <t>Art Sets</t>
  </si>
  <si>
    <t>CRAYOLA LLC</t>
  </si>
  <si>
    <t>57000</t>
  </si>
  <si>
    <t>Art Paints &amp; Pigment Powders</t>
  </si>
  <si>
    <t>Art Brushes</t>
  </si>
  <si>
    <t>STEVEN B GOLDEN ASSOCIATES</t>
  </si>
  <si>
    <t>740042</t>
  </si>
  <si>
    <t>Vista Partners, Inc. dba Petersen-Arne</t>
  </si>
  <si>
    <t>753913</t>
  </si>
  <si>
    <t>FLAT RIVER GROUP LLC</t>
  </si>
  <si>
    <t>95052</t>
  </si>
  <si>
    <t>11919</t>
  </si>
  <si>
    <t>Art Pads &amp; Paper</t>
  </si>
  <si>
    <t>Glitter</t>
  </si>
  <si>
    <t>FABRIC EDITIONS INC</t>
  </si>
  <si>
    <t>285361</t>
  </si>
  <si>
    <t>DAVID TEXTILES INC</t>
  </si>
  <si>
    <t>360297</t>
  </si>
  <si>
    <t>Sewing Thread</t>
  </si>
  <si>
    <t>Sewing Patches &amp; Appliques</t>
  </si>
  <si>
    <t>New_1P_Fabrics,_Yarn,_&amp;_Thread_2021_09_16_319657</t>
  </si>
  <si>
    <t>SPRINGS CREATIVE PRODUCTS</t>
  </si>
  <si>
    <t>319657</t>
  </si>
  <si>
    <t>New_1P_Fabrics,_Yarn,_&amp;_Thread_2021_09_30_753913</t>
  </si>
  <si>
    <t>PRYM CONSUMER USA INC</t>
  </si>
  <si>
    <t>461244</t>
  </si>
  <si>
    <t>Sewing Sets &amp; Kits</t>
  </si>
  <si>
    <t>Sewing Fasteners</t>
  </si>
  <si>
    <t>Machinehome Inc</t>
  </si>
  <si>
    <t>72011</t>
  </si>
  <si>
    <t>A5B1A239A4344F9F8002D343D9F06301</t>
  </si>
  <si>
    <t>E52A100D365849B495438700E68AF05F</t>
  </si>
  <si>
    <t>Art Paint Finishes</t>
  </si>
  <si>
    <t>Gallop Fulfillment Inc</t>
  </si>
  <si>
    <t>Beadaholique.com</t>
  </si>
  <si>
    <t>10000001246</t>
  </si>
  <si>
    <t>TNT Deals, Inc</t>
  </si>
  <si>
    <t>10000001549</t>
  </si>
  <si>
    <t>Carving Tools &amp; Kits</t>
  </si>
  <si>
    <t>Craft Sticks</t>
  </si>
  <si>
    <t>Jewelry Jump Rings &amp; Split Rings</t>
  </si>
  <si>
    <t>Construction Paper</t>
  </si>
  <si>
    <t>Craft Eyes</t>
  </si>
  <si>
    <t>Jewelry Head &amp; Eye Pins</t>
  </si>
  <si>
    <t>ECS_3P_Art_&amp;_Craft_2021_09_24_10000001549</t>
  </si>
  <si>
    <t>Beading Needles</t>
  </si>
  <si>
    <t>ECS_3P_Art_&amp;_Craft_2021_09_24_10000001836</t>
  </si>
  <si>
    <t>Axon US Corp</t>
  </si>
  <si>
    <t>10000001836</t>
  </si>
  <si>
    <t>Earring Components</t>
  </si>
  <si>
    <t>Jewelry Pin Backs</t>
  </si>
  <si>
    <t>Jewelry Making Embellishments</t>
  </si>
  <si>
    <t>TCP Global Corp</t>
  </si>
  <si>
    <t>Sewing &amp; Craft Elastic</t>
  </si>
  <si>
    <t>Weaving Looms</t>
  </si>
  <si>
    <t>ED055A42693F4F48B24B180D5B052BC0</t>
  </si>
  <si>
    <t>Sanders Collection Inc</t>
  </si>
  <si>
    <t>F6EA0C2FAFB44B63A437E8AE08C4E063</t>
  </si>
  <si>
    <t>Natures Touch Marketing Inc</t>
  </si>
  <si>
    <t>5DAB6D919B1A402B80C1AE0B8E3003BD</t>
  </si>
  <si>
    <t>Arteza LLC</t>
  </si>
  <si>
    <t>A185E2BC1F464898A538E6AC4449CBC3</t>
  </si>
  <si>
    <t>Vogue Group Inc</t>
  </si>
  <si>
    <t>0CD65FB509844C0384F4B5565C7163D2</t>
  </si>
  <si>
    <t>Existing_1P_Art_&amp;_Craft_2020_11_12_21186</t>
  </si>
  <si>
    <t>Ribbons &amp; Bows</t>
  </si>
  <si>
    <t>YAMA RIBBONS AND BOWS CO LTD</t>
  </si>
  <si>
    <t>21186</t>
  </si>
  <si>
    <t>Raw Data</t>
  </si>
  <si>
    <t>UNIVERSITY GAMES</t>
  </si>
  <si>
    <t>166793</t>
  </si>
  <si>
    <t>D008375F04EB41339F5D049D12921433</t>
  </si>
  <si>
    <t>ANKYO DEVELOPMENT LIMITED</t>
  </si>
  <si>
    <t>69931</t>
  </si>
  <si>
    <t>New_1P_Art_&amp;_Craft_2021_12_24_636222</t>
  </si>
  <si>
    <t>OZ_1P_Fabrics,_Yarn,_&amp;_Thread_2021_09_17_604145</t>
  </si>
  <si>
    <t>Data Tab</t>
  </si>
  <si>
    <t>Old</t>
  </si>
  <si>
    <t>CV_1P_Art_&amp;_Craft_2021_11_17_753913</t>
  </si>
  <si>
    <t>Paper Craft</t>
  </si>
  <si>
    <t>CV_1P_Art_&amp;_Craft_2022_01_18_121681</t>
  </si>
  <si>
    <t>Supplies</t>
  </si>
  <si>
    <t>FLORACRAFT CORPORATION</t>
  </si>
  <si>
    <t>121681</t>
  </si>
  <si>
    <t>CV_1P_Art_&amp;_Craft_2022_01_18_143</t>
  </si>
  <si>
    <t>Tangible Art</t>
  </si>
  <si>
    <t>HOLIDAY TIMES UNLIMITED INC</t>
  </si>
  <si>
    <t>143</t>
  </si>
  <si>
    <t>CV_1P_Art_&amp;_Craft_2022_01_18_296173</t>
  </si>
  <si>
    <t>NEW VIEW GIFTS AND ACCESSORIES</t>
  </si>
  <si>
    <t>296173</t>
  </si>
  <si>
    <t>CV_1P_Art_&amp;_Craft_2022_01_18_424556</t>
  </si>
  <si>
    <t>CV_1P_Art_&amp;_Craft_2022_01_18_441030</t>
  </si>
  <si>
    <t>CV_1P_Art_Supplies_2021_10_12_752112</t>
  </si>
  <si>
    <t>ADVANTUS CORP</t>
  </si>
  <si>
    <t>752112</t>
  </si>
  <si>
    <t>CV_1P_Art_Supplies_2021_11_18_753913</t>
  </si>
  <si>
    <t>CV_1P_Art_Supplies_2021_11_20_166793</t>
  </si>
  <si>
    <t>CV_1P_Art_Supplies_2021_11_23_753913</t>
  </si>
  <si>
    <t>CV_1P_Art_Supplies_2021_12_22_864515</t>
  </si>
  <si>
    <t>A.W. Faber-Castell USA Inc.</t>
  </si>
  <si>
    <t>864515</t>
  </si>
  <si>
    <t>CV_1P_Art_Supplies_2022_01_12_57000</t>
  </si>
  <si>
    <t>CV_1P_Art_Supplies_2022_01_13_11919</t>
  </si>
  <si>
    <t>CV_1P_Art_Supplies_2022_01_17_753913</t>
  </si>
  <si>
    <t>CV_1P_Art_Supplies_2022_01_18_48785</t>
  </si>
  <si>
    <t>CV_1P_Art_Supplies_2022_01_18_553755</t>
  </si>
  <si>
    <t>CV_1P_Art_Supplies_2022_01_18_611221</t>
  </si>
  <si>
    <t>STUDIO DESIGNS INC</t>
  </si>
  <si>
    <t>611221</t>
  </si>
  <si>
    <t>CV_1P_Art_Supplies_2022_01_18_753913</t>
  </si>
  <si>
    <t>CV_1P_Art_Supplies_2022_01_18_902189</t>
  </si>
  <si>
    <t>VTECH ELECTRONICS NA LLC</t>
  </si>
  <si>
    <t>902189</t>
  </si>
  <si>
    <t>CV_1P_Fabric_Craft_2021_11_23_459302</t>
  </si>
  <si>
    <t>Fabric Craft</t>
  </si>
  <si>
    <t>CV_1P_Fabrics,_Yarn,_&amp;_Thread_2021_10_14_360297</t>
  </si>
  <si>
    <t>CV_1P_Fabrics,_Yarn,_&amp;_Thread_2022_01_18_48785</t>
  </si>
  <si>
    <t>CV_1P_Weaving_Accessories_2021_11_17_95052</t>
  </si>
  <si>
    <t>CV_3P_Art_&amp;_Craft_2021_11_17_E52A100D365849B495438700E68AF05F</t>
  </si>
  <si>
    <t>CV_3P_Art_&amp;_Craft_2021_12_10_E6A4A37B35DF4F238585BFD03616CFA8</t>
  </si>
  <si>
    <t>Heatpress District Inc</t>
  </si>
  <si>
    <t>E6A4A37B35DF4F238585BFD03616CFA8</t>
  </si>
  <si>
    <t>CV_3P_Art_&amp;_Craft_2022_01_12_44365C4720DF4EA68E46CC67A572FE5F</t>
  </si>
  <si>
    <t>DREAMY HOME INC</t>
  </si>
  <si>
    <t>44365C4720DF4EA68E46CC67A572FE5F</t>
  </si>
  <si>
    <t>CV_3P_Art_Supplies_2021_10_15_462C67C7FEC84B548E65F059D40FB4CF</t>
  </si>
  <si>
    <t>tradeCOzone</t>
  </si>
  <si>
    <t>462C67C7FEC84B548E65F059D40FB4CF</t>
  </si>
  <si>
    <t>CV_3P_Art_Supplies_2021_10_15_D008375F04EB41339F5D049D12921433</t>
  </si>
  <si>
    <t>CV_3P_Art_Supplies_2021_10_15_D819F71C665E4EA29A0C17C72942D10C</t>
  </si>
  <si>
    <t>Guangzhou Baiyun District Baojie Trading Co., Ltd.</t>
  </si>
  <si>
    <t>D819F71C665E4EA29A0C17C72942D10C</t>
  </si>
  <si>
    <t>CV_3P_Art_Supplies_2021_10_15_ED055A42693F4F48B24B180D5B052BC0</t>
  </si>
  <si>
    <t>CV_3P_Art_Supplies_2021_11_15_E52A100D365849B495438700E68AF05F</t>
  </si>
  <si>
    <t>CV_3P_Art_Supplies_2021_11_16_E52A100D365849B495438700E68AF05F</t>
  </si>
  <si>
    <t>CV_3P_Art_Supplies_2021_11_17_ED055A42693F4F48B24B180D5B052BC0</t>
  </si>
  <si>
    <t>CV_3P_Art_Supplies_2021_11_19_3438F44AFE51497DBB11E29A79A9BA81</t>
  </si>
  <si>
    <t>CREATIVE KIDS ONLINE LLC</t>
  </si>
  <si>
    <t>3438F44AFE51497DBB11E29A79A9BA81</t>
  </si>
  <si>
    <t>CV_3P_Art_Supplies_2021_11_19_99B62ECFA1DD49DFA0BFCAB42E713F06</t>
  </si>
  <si>
    <t>Come In and Be Tempted... Ltd</t>
  </si>
  <si>
    <t>99B62ECFA1DD49DFA0BFCAB42E713F06</t>
  </si>
  <si>
    <t>CV_3P_Art_Supplies_2021_11_19_D7E563FC3CA44F9BB730DD851D336D2A</t>
  </si>
  <si>
    <t>Shenzhenshi Dayitong Keji Youxian Gongsi</t>
  </si>
  <si>
    <t>D7E563FC3CA44F9BB730DD851D336D2A</t>
  </si>
  <si>
    <t>CV_3P_Art_Supplies_2021_11_19_E52A100D365849B495438700E68AF05F</t>
  </si>
  <si>
    <t>Scepter Marketing, LLC</t>
  </si>
  <si>
    <t>F27CA33C945E4A2CB3C60A9CBA37F1D9</t>
  </si>
  <si>
    <t>CV_3P_Art_Supplies_2021_11_22_D008375F04EB41339F5D049D12921433</t>
  </si>
  <si>
    <t>CV_3P_Art_Supplies_2021_12_10_3438F44AFE51497DBB11E29A79A9BA81</t>
  </si>
  <si>
    <t>CV_3P_Art_Supplies_2021_12_13_3438F44AFE51497DBB11E29A79A9BA81</t>
  </si>
  <si>
    <t>CV_3P_Art_Supplies_2021_12_14_E52A100D365849B495438700E68AF05F</t>
  </si>
  <si>
    <t>CV_3P_Art_Supplies_2021_12_14_F27CA33C945E4A2CB3C60A9CBA37F1D9</t>
  </si>
  <si>
    <t>CV_3P_Art_Supplies_2022_01_12_0137E0EE97394F31AA9171555A2C3EF6</t>
  </si>
  <si>
    <t>Audioec Inc.</t>
  </si>
  <si>
    <t>0137E0EE97394F31AA9171555A2C3EF6</t>
  </si>
  <si>
    <t>CV_3P_Art_Supplies_2022_01_12_39D874F16BA14D9583DDA05B58B94EF7</t>
  </si>
  <si>
    <t>Merchant Market Inc</t>
  </si>
  <si>
    <t>39D874F16BA14D9583DDA05B58B94EF7</t>
  </si>
  <si>
    <t>CV_3P_Art_Supplies_2022_01_12_4C2D03A83FC94D4D8E090C24C737B878</t>
  </si>
  <si>
    <t>Siraa Solutions LLC</t>
  </si>
  <si>
    <t>4C2D03A83FC94D4D8E090C24C737B878</t>
  </si>
  <si>
    <t>CV_3P_Art_Supplies_2022_01_12_5914CAAD6B59433292E798F777BACE1A</t>
  </si>
  <si>
    <t>B&amp;J Associates Inc.</t>
  </si>
  <si>
    <t>5914CAAD6B59433292E798F777BACE1A</t>
  </si>
  <si>
    <t>CV_3P_Art_Supplies_2022_01_12_5B047CD5F01542CAA1A6BF02CF34EF7B</t>
  </si>
  <si>
    <t>Topbuy.INC</t>
  </si>
  <si>
    <t>5B047CD5F01542CAA1A6BF02CF34EF7B</t>
  </si>
  <si>
    <t>CV_3P_Art_Supplies_2022_01_12_5B6BC99A00B24DB78C49C87CA4DAF71B</t>
  </si>
  <si>
    <t>DSCovery LLC</t>
  </si>
  <si>
    <t>5B6BC99A00B24DB78C49C87CA4DAF71B</t>
  </si>
  <si>
    <t>CV_3P_Art_Supplies_2022_01_12_5DAB6D919B1A402B80C1AE0B8E3003BD</t>
  </si>
  <si>
    <t>CV_3P_Art_Supplies_2022_01_12_8287492C05D14013812C7502B655B66A</t>
  </si>
  <si>
    <t>8287492C05D14013812C7502B655B66A</t>
  </si>
  <si>
    <t>CV_3P_Art_Supplies_2022_01_12_8AB6AB3ECDDA48FDBAF9FF734FBC517D</t>
  </si>
  <si>
    <t>Shenzhen Monikate Trading Co., Ltd.</t>
  </si>
  <si>
    <t>8AB6AB3ECDDA48FDBAF9FF734FBC517D</t>
  </si>
  <si>
    <t>CV_3P_Art_Supplies_2022_01_12_995C38FA741F44F39C2816D686B24038</t>
  </si>
  <si>
    <t>Palindrome LLC</t>
  </si>
  <si>
    <t>995C38FA741F44F39C2816D686B24038</t>
  </si>
  <si>
    <t>CV_3P_Art_Supplies_2022_01_12_A16F541C0C9D4069B98681271C03CBD6</t>
  </si>
  <si>
    <t>TONGLU ZHENGHUA STATIONERY CO LTD</t>
  </si>
  <si>
    <t>A16F541C0C9D4069B98681271C03CBD6</t>
  </si>
  <si>
    <t>CV_3P_Art_Supplies_2022_01_12_A185E2BC1F464898A538E6AC4449CBC3</t>
  </si>
  <si>
    <t>CV_3P_Art_Supplies_2022_01_12_AF9BFF4E267442C4BC7DAB18C81B0302</t>
  </si>
  <si>
    <t>RED ROSE TECHNOLOGIES</t>
  </si>
  <si>
    <t>AF9BFF4E267442C4BC7DAB18C81B0302</t>
  </si>
  <si>
    <t>CV_3P_Art_Supplies_2022_01_12_ED055A42693F4F48B24B180D5B052BC0</t>
  </si>
  <si>
    <t>CV_3P_Art_Supplies_2022_01_12_F6EA0C2FAFB44B63A437E8AE08C4E063</t>
  </si>
  <si>
    <t>CV_3P_Fabrics,_Yarn,_&amp;_Thread_2021_10_15_0CD65FB509844C0384F4B5565C7163D2</t>
  </si>
  <si>
    <t>CV_3P_Fabrics,_Yarn,_&amp;_Thread_2021_11_18_0CD65FB509844C0384F4B5565C7163D2</t>
  </si>
  <si>
    <t>CV_3P_Fabrics,_Yarn,_&amp;_Thread_2021_11_22_0CD65FB509844C0384F4B5565C7163D2</t>
  </si>
  <si>
    <t>CV_3P_Fabrics,_Yarn,_&amp;_Thread_2022_01_12_E52A100D365849B495438700E68AF05F</t>
  </si>
  <si>
    <t>CV_3P_Sewing_Accessories_2021_11_17_A5B1A239A4344F9F8002D343D9F06301</t>
  </si>
  <si>
    <t>EHPV_3P_Art_&amp;_Craft_2021_08_25_10000001200</t>
  </si>
  <si>
    <t>Quality Photo</t>
  </si>
  <si>
    <t>10000001200</t>
  </si>
  <si>
    <t>EHPV_3P_Art_&amp;_Craft_2021_08_25_10000001246</t>
  </si>
  <si>
    <t>EHPV_3P_Art_&amp;_Craft_2021_08_25_10000001836</t>
  </si>
  <si>
    <t>EHPV_3P_Art_&amp;_Craft_2021_08_25_10000012310</t>
  </si>
  <si>
    <t>PFACC LLC.</t>
  </si>
  <si>
    <t>10000012310</t>
  </si>
  <si>
    <t>EHPV_3P_Art_Supplies_2021_08_25_10000001246</t>
  </si>
  <si>
    <t>Existing_1P_Art_Supplies_2021_08_20_424556</t>
  </si>
  <si>
    <t>New_1P_Art_&amp;_Craft_2021_10_17_636222</t>
  </si>
  <si>
    <t>New_1P_Art_&amp;_Craft_2021_12_03_636222</t>
  </si>
  <si>
    <t>New_1P_Art_&amp;_Craft_2021_12_11_69931</t>
  </si>
  <si>
    <t>New_1P_Art_&amp;_Craft_2021_12_11_753913</t>
  </si>
  <si>
    <t>New_1P_Art_&amp;_Craft_2022_01_19_29501</t>
  </si>
  <si>
    <t>New_1P_Art_&amp;_Craft_2022_01_19_461244</t>
  </si>
  <si>
    <t>New_1P_Art_Supplies_2021_09_02_17994</t>
  </si>
  <si>
    <t>New_1P_Art_Supplies_2021_10_06_30492</t>
  </si>
  <si>
    <t>New_1P_Art_Supplies_2021_10_20_30492</t>
  </si>
  <si>
    <t>New_1P_Art_Supplies_2021_10_21_520205</t>
  </si>
  <si>
    <t>ART 101 USA LTD</t>
  </si>
  <si>
    <t>520205</t>
  </si>
  <si>
    <t>New_1P_Art_Supplies_2021_10_27_864515</t>
  </si>
  <si>
    <t>New_1P_Art_Supplies_2021_11_07_424556</t>
  </si>
  <si>
    <t>New_1P_Art_Supplies_2022_01_08_285361</t>
  </si>
  <si>
    <t>New_1P_Art_Supplies_2022_01_08_57000</t>
  </si>
  <si>
    <t>New_1P_Art_Supplies_2022_01_12_553755</t>
  </si>
  <si>
    <t>New_1P_Art_Supplies_2022_01_13_549568</t>
  </si>
  <si>
    <t>MGA ENTERTAINMENT INC</t>
  </si>
  <si>
    <t>549568</t>
  </si>
  <si>
    <t>New_1P_Art_Supplies_2022_01_13_740042</t>
  </si>
  <si>
    <t>New_1P_Art_Supplies_2022_01_13_89895</t>
  </si>
  <si>
    <t>Gymax LLC</t>
  </si>
  <si>
    <t>89895</t>
  </si>
  <si>
    <t>New_1P_Art_Supplies_2022_01_18_553755</t>
  </si>
  <si>
    <t>New_1P_Fabrics,_Yarn,_&amp;_Thread_2021_07_28_753913</t>
  </si>
  <si>
    <t>New_1P_Fabrics,_Yarn,_&amp;_Thread_2021_10_26_508804</t>
  </si>
  <si>
    <t>New_1P_Fabrics,_Yarn,_&amp;_Thread_2021_11_09_319657</t>
  </si>
  <si>
    <t>OZ_1P_Art_Supplies_2021_11_09_39107</t>
  </si>
  <si>
    <t>Dixon Ticonderoga Company</t>
  </si>
  <si>
    <t>39107</t>
  </si>
  <si>
    <t>OZ_1P_Fabrics,_Yarn,_&amp;_Thread_2021_10_26_508804</t>
  </si>
  <si>
    <t>OZ_1P_Fabrics,_Yarn,_and_Thread_2020_08_12_360297</t>
  </si>
  <si>
    <t>New_1P_Art_&amp;_Craft_2022_01_24_38438</t>
  </si>
  <si>
    <t>New_1P_Art_Supplies_2022_01_22_72011</t>
  </si>
  <si>
    <t>New_1P_Fabric_Craft_2022_01_23_459302</t>
  </si>
  <si>
    <t>New_1P_Fabrics,_Yarn,_&amp;_Thread_2022_01_22_72011</t>
  </si>
  <si>
    <t>New_1P_Fabrics,_Yarn,_&amp;_Thread_2022_01_22_787341</t>
  </si>
  <si>
    <t>New_1P_Sewing,_Knitting,_&amp;_Weaving_Kits_2022_01_22_72011</t>
  </si>
  <si>
    <t>Copy Below End Product Type Column[C]</t>
  </si>
  <si>
    <t>Start from 1st Comumn{A]</t>
  </si>
  <si>
    <t>Row Labels</t>
  </si>
  <si>
    <t>Grand Total</t>
  </si>
  <si>
    <t>Column Labels</t>
  </si>
  <si>
    <t>Sum of # OF ITEMS</t>
  </si>
  <si>
    <t>Copy Below End Work Stream Column[G]</t>
  </si>
  <si>
    <t>New_1P_Art_&amp;_Craft_2022_01_25_504485</t>
  </si>
  <si>
    <t>New_1P_Art_&amp;_Craft_2022_01_25_58005</t>
  </si>
  <si>
    <t>STRING KING LACROSSE, LLC</t>
  </si>
  <si>
    <t>58005</t>
  </si>
  <si>
    <t>New_1P_Art_&amp;_Craft_2022_01_25_740042</t>
  </si>
  <si>
    <t>New_1P_Art_&amp;_Craft_2022_01_25_820584</t>
  </si>
  <si>
    <t>Mizar Holding Company, Inc</t>
  </si>
  <si>
    <t>820584</t>
  </si>
  <si>
    <t>Cutting Mats</t>
  </si>
  <si>
    <t>Scrapbooking Embellishments</t>
  </si>
  <si>
    <t>New_1P_Art_Supplies_2022_01_25_11919</t>
  </si>
  <si>
    <t>New_1P_Art_Supplies_2022_01_25_25166</t>
  </si>
  <si>
    <t>QINGDAO ROOTING CO., LTD</t>
  </si>
  <si>
    <t>25166</t>
  </si>
  <si>
    <t>New_1P_Art_Supplies_2022_01_25_740042</t>
  </si>
  <si>
    <t>New_1P_Art_Supplies_2022_01_25_820584</t>
  </si>
  <si>
    <t>New_1P_Art_Supplies_2022_01_25_84118</t>
  </si>
  <si>
    <t>Bright Star Products L.L.C.</t>
  </si>
  <si>
    <t>84118</t>
  </si>
  <si>
    <t>New_1P_Art_Supplies_2022_01_25_9375</t>
  </si>
  <si>
    <t>Artwork Cases &amp; Portfolios</t>
  </si>
  <si>
    <t>CONTINENTAL ACCESSORY CORP</t>
  </si>
  <si>
    <t>9375</t>
  </si>
  <si>
    <t>New_1P_Fabrics,_Yarn,_&amp;_Thread_2022_01_25_753913</t>
  </si>
  <si>
    <t>Cross-Stitch Aida Cloth</t>
  </si>
  <si>
    <t>CV_1P_Sewing,_Knitting,_&amp;_Weaving_Kits_2021_11_16_95052</t>
  </si>
  <si>
    <t>Knitting Kits</t>
  </si>
  <si>
    <t>ECS_3P_Weaving_Accessories_2021_09_24_10000001246</t>
  </si>
  <si>
    <t>Weaving Warping Tools</t>
  </si>
  <si>
    <t>EHPV_3P_Art_&amp;_Craft_2021_08_19_10000001424</t>
  </si>
  <si>
    <t>huoilum corp</t>
  </si>
  <si>
    <t>10000001424</t>
  </si>
  <si>
    <t>EHPV_3P_Art_&amp;_Craft_2021_08_25_10000000517</t>
  </si>
  <si>
    <t>Vir Ventures Inc.</t>
  </si>
  <si>
    <t>10000000517</t>
  </si>
  <si>
    <t>New_1P_Art_&amp;_Craft_2021_08_24_459302</t>
  </si>
  <si>
    <t>CV_3P_Art_Supplies_2021_11_16_ED055A42693F4F48B24B180D5B052BC0</t>
  </si>
  <si>
    <t>New_1P_Art_Supplies_2021_10_31_520205</t>
  </si>
  <si>
    <t>New_1P_Art_Supplies_2021_11_03_520205</t>
  </si>
  <si>
    <t xml:space="preserve">Filter Template Column to Category and Chage Product Type Group To A&amp;C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</si>
</sst>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29D9D9"/>
        <bgColor indexed="64"/>
      </patternFill>
    </fill>
    <fill>
      <patternFill patternType="solid">
        <fgColor rgb="FF29D9D9"/>
        <bgColor rgb="FF000000"/>
      </patternFill>
    </fill>
    <fill>
      <patternFill patternType="solid">
        <fgColor rgb="FFED7105"/>
        <bgColor rgb="FF000000"/>
      </patternFill>
    </fill>
    <fill>
      <patternFill patternType="solid">
        <fgColor rgb="FFED7105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1">
    <xf numFmtId="0" fontId="0" fillId="0" borderId="0" xfId="0"/>
    <xf numFmtId="0" fontId="4" fillId="0" borderId="0" xfId="0" applyFont="1"/>
    <xf numFmtId="0" fontId="8" fillId="3" borderId="1" xfId="0" applyFont="1" applyFill="1" applyBorder="1" applyAlignment="1">
      <alignment vertical="center"/>
    </xf>
    <xf numFmtId="0" fontId="6" fillId="4" borderId="2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5" fillId="0" borderId="9" xfId="0" applyFont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1" fillId="0" borderId="7" xfId="0" applyFont="1" applyFill="1" applyBorder="1"/>
    <xf numFmtId="0" fontId="8" fillId="2" borderId="1" xfId="0" applyFont="1" applyFill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vertical="center"/>
    </xf>
    <xf numFmtId="0" fontId="3" fillId="3" borderId="6" xfId="0" applyFont="1" applyFill="1" applyBorder="1" applyAlignment="1">
      <alignment vertical="center"/>
    </xf>
    <xf numFmtId="0" fontId="8" fillId="6" borderId="1" xfId="0" applyFont="1" applyFill="1" applyBorder="1" applyAlignment="1">
      <alignment vertical="center"/>
    </xf>
    <xf numFmtId="0" fontId="8" fillId="6" borderId="6" xfId="0" applyFont="1" applyFill="1" applyBorder="1" applyAlignment="1">
      <alignment vertical="center"/>
    </xf>
    <xf numFmtId="0" fontId="3" fillId="6" borderId="6" xfId="0" applyFont="1" applyFill="1" applyBorder="1" applyAlignment="1">
      <alignment vertical="center"/>
    </xf>
    <xf numFmtId="0" fontId="0" fillId="0" borderId="0" xfId="0" applyBorder="1"/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0" fontId="8" fillId="3" borderId="6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0" borderId="1" xfId="0" applyBorder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9" borderId="0" xfId="0" applyFill="1" applyAlignment="1">
      <alignment horizontal="left" indent="1"/>
    </xf>
    <xf numFmtId="0" fontId="0" fillId="9" borderId="0" xfId="0" applyFill="1"/>
    <xf numFmtId="0" fontId="0" fillId="10" borderId="0" xfId="0" applyFill="1"/>
    <xf numFmtId="0" fontId="8" fillId="2" borderId="1" xfId="0" applyFont="1" applyFill="1" applyBorder="1" applyAlignment="1">
      <alignment horizontal="center" vertical="center"/>
    </xf>
    <xf numFmtId="0" fontId="1" fillId="0" borderId="5" xfId="0" applyFont="1" applyBorder="1"/>
    <xf numFmtId="0" fontId="8" fillId="3" borderId="1" xfId="0" applyFont="1" applyFill="1" applyBorder="1" applyAlignment="1">
      <alignment horizontal="center" vertical="center"/>
    </xf>
    <xf numFmtId="0" fontId="8" fillId="6" borderId="20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horizontal="left" indent="1"/>
    </xf>
    <xf numFmtId="0" fontId="8" fillId="6" borderId="23" xfId="0" applyFont="1" applyFill="1" applyBorder="1" applyAlignment="1">
      <alignment vertical="center"/>
    </xf>
    <xf numFmtId="0" fontId="8" fillId="6" borderId="1" xfId="0" applyFont="1" applyFill="1" applyBorder="1" applyAlignment="1">
      <alignment horizontal="center" vertical="center"/>
    </xf>
    <xf numFmtId="0" fontId="8" fillId="6" borderId="20" xfId="0" applyFont="1" applyFill="1" applyBorder="1" applyAlignment="1">
      <alignment horizontal="center" vertical="center"/>
    </xf>
    <xf numFmtId="0" fontId="8" fillId="6" borderId="21" xfId="0" applyFont="1" applyFill="1" applyBorder="1" applyAlignment="1">
      <alignment horizontal="center" vertical="center"/>
    </xf>
    <xf numFmtId="0" fontId="0" fillId="11" borderId="1" xfId="0" applyFill="1" applyBorder="1"/>
    <xf numFmtId="0" fontId="0" fillId="11" borderId="1" xfId="0" applyNumberFormat="1" applyFill="1" applyBorder="1"/>
    <xf numFmtId="0" fontId="1" fillId="0" borderId="30" xfId="0" applyFont="1" applyBorder="1"/>
    <xf numFmtId="0" fontId="0" fillId="14" borderId="1" xfId="0" applyFill="1" applyBorder="1"/>
    <xf numFmtId="0" fontId="0" fillId="14" borderId="11" xfId="0" applyFill="1" applyBorder="1"/>
    <xf numFmtId="0" fontId="0" fillId="14" borderId="1" xfId="0" applyNumberFormat="1" applyFill="1" applyBorder="1"/>
    <xf numFmtId="0" fontId="0" fillId="15" borderId="0" xfId="0" applyFill="1"/>
    <xf numFmtId="0" fontId="0" fillId="15" borderId="0" xfId="0" applyFill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11" borderId="0" xfId="0" applyNumberFormat="1" applyFill="1"/>
    <xf numFmtId="0" fontId="7" fillId="6" borderId="22" xfId="0" applyFont="1" applyFill="1" applyBorder="1" applyAlignment="1">
      <alignment horizontal="center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8" fillId="6" borderId="10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8" fillId="3" borderId="20" xfId="0" applyFont="1" applyFill="1" applyBorder="1" applyAlignment="1">
      <alignment horizontal="center" vertical="center"/>
    </xf>
    <xf numFmtId="0" fontId="8" fillId="3" borderId="21" xfId="0" applyFont="1" applyFill="1" applyBorder="1" applyAlignment="1">
      <alignment horizontal="center" vertical="center"/>
    </xf>
    <xf numFmtId="0" fontId="0" fillId="14" borderId="16" xfId="0" applyFill="1" applyBorder="1" applyAlignment="1">
      <alignment horizontal="center"/>
    </xf>
    <xf numFmtId="0" fontId="0" fillId="14" borderId="17" xfId="0" applyFill="1" applyBorder="1" applyAlignment="1">
      <alignment horizontal="center"/>
    </xf>
    <xf numFmtId="0" fontId="0" fillId="14" borderId="18" xfId="0" applyFill="1" applyBorder="1" applyAlignment="1">
      <alignment horizontal="center"/>
    </xf>
    <xf numFmtId="0" fontId="2" fillId="13" borderId="26" xfId="0" applyFont="1" applyFill="1" applyBorder="1" applyAlignment="1">
      <alignment horizontal="center" vertical="center" wrapText="1"/>
    </xf>
    <xf numFmtId="0" fontId="2" fillId="13" borderId="27" xfId="0" applyFont="1" applyFill="1" applyBorder="1" applyAlignment="1">
      <alignment horizontal="center" vertical="center" wrapText="1"/>
    </xf>
    <xf numFmtId="0" fontId="1" fillId="13" borderId="20" xfId="0" applyFont="1" applyFill="1" applyBorder="1" applyAlignment="1">
      <alignment horizontal="center" vertical="center" wrapText="1"/>
    </xf>
    <xf numFmtId="0" fontId="2" fillId="13" borderId="20" xfId="0" applyFont="1" applyFill="1" applyBorder="1" applyAlignment="1">
      <alignment horizontal="center" vertical="center" wrapText="1"/>
    </xf>
    <xf numFmtId="0" fontId="1" fillId="13" borderId="26" xfId="0" applyFont="1" applyFill="1" applyBorder="1" applyAlignment="1">
      <alignment horizontal="center" vertical="center" wrapText="1"/>
    </xf>
    <xf numFmtId="0" fontId="1" fillId="13" borderId="27" xfId="0" applyFont="1" applyFill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/>
    </xf>
    <xf numFmtId="0" fontId="1" fillId="0" borderId="2" xfId="0" applyFont="1" applyBorder="1"/>
    <xf numFmtId="0" fontId="1" fillId="0" borderId="5" xfId="0" applyFont="1" applyBorder="1"/>
    <xf numFmtId="0" fontId="1" fillId="12" borderId="20" xfId="0" applyFont="1" applyFill="1" applyBorder="1" applyAlignment="1">
      <alignment horizontal="center" vertical="center" wrapText="1"/>
    </xf>
    <xf numFmtId="0" fontId="2" fillId="12" borderId="20" xfId="0" applyFont="1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wrapText="1"/>
    </xf>
    <xf numFmtId="0" fontId="1" fillId="12" borderId="26" xfId="0" applyFont="1" applyFill="1" applyBorder="1" applyAlignment="1">
      <alignment horizontal="center" vertical="center" wrapText="1"/>
    </xf>
    <xf numFmtId="0" fontId="1" fillId="12" borderId="27" xfId="0" applyFont="1" applyFill="1" applyBorder="1" applyAlignment="1">
      <alignment horizontal="center" vertical="center" wrapText="1"/>
    </xf>
    <xf numFmtId="0" fontId="2" fillId="12" borderId="26" xfId="0" applyFont="1" applyFill="1" applyBorder="1" applyAlignment="1">
      <alignment horizontal="center" vertical="center" wrapText="1"/>
    </xf>
    <xf numFmtId="0" fontId="2" fillId="12" borderId="27" xfId="0" applyFont="1" applyFill="1" applyBorder="1" applyAlignment="1">
      <alignment horizontal="center" vertical="center" wrapText="1"/>
    </xf>
    <xf numFmtId="0" fontId="1" fillId="13" borderId="1" xfId="0" applyFont="1" applyFill="1" applyBorder="1" applyAlignment="1">
      <alignment horizontal="center" vertical="center" wrapText="1"/>
    </xf>
    <xf numFmtId="0" fontId="1" fillId="13" borderId="6" xfId="0" applyFont="1" applyFill="1" applyBorder="1" applyAlignment="1">
      <alignment horizontal="center" vertical="center" wrapText="1"/>
    </xf>
    <xf numFmtId="0" fontId="1" fillId="13" borderId="12" xfId="0" applyFont="1" applyFill="1" applyBorder="1" applyAlignment="1">
      <alignment horizontal="center" wrapText="1"/>
    </xf>
    <xf numFmtId="0" fontId="1" fillId="13" borderId="13" xfId="0" applyFont="1" applyFill="1" applyBorder="1" applyAlignment="1">
      <alignment horizontal="center" wrapText="1"/>
    </xf>
    <xf numFmtId="0" fontId="1" fillId="13" borderId="14" xfId="0" applyFont="1" applyFill="1" applyBorder="1" applyAlignment="1">
      <alignment horizontal="center" wrapText="1"/>
    </xf>
    <xf numFmtId="0" fontId="1" fillId="12" borderId="28" xfId="0" applyFont="1" applyFill="1" applyBorder="1" applyAlignment="1">
      <alignment horizontal="center" wrapText="1"/>
    </xf>
    <xf numFmtId="0" fontId="1" fillId="12" borderId="29" xfId="0" applyFont="1" applyFill="1" applyBorder="1" applyAlignment="1">
      <alignment horizontal="center" wrapText="1"/>
    </xf>
    <xf numFmtId="0" fontId="1" fillId="12" borderId="31" xfId="0" applyFont="1" applyFill="1" applyBorder="1" applyAlignment="1">
      <alignment horizontal="center" wrapText="1"/>
    </xf>
    <xf numFmtId="0" fontId="1" fillId="13" borderId="28" xfId="0" applyFont="1" applyFill="1" applyBorder="1" applyAlignment="1">
      <alignment horizontal="center" wrapText="1"/>
    </xf>
    <xf numFmtId="0" fontId="1" fillId="13" borderId="29" xfId="0" applyFont="1" applyFill="1" applyBorder="1" applyAlignment="1">
      <alignment horizontal="center" wrapText="1"/>
    </xf>
    <xf numFmtId="0" fontId="1" fillId="13" borderId="15" xfId="0" applyFont="1" applyFill="1" applyBorder="1" applyAlignment="1">
      <alignment horizontal="center" wrapText="1"/>
    </xf>
    <xf numFmtId="0" fontId="1" fillId="13" borderId="19" xfId="0" applyFont="1" applyFill="1" applyBorder="1" applyAlignment="1">
      <alignment horizontal="center" wrapText="1"/>
    </xf>
    <xf numFmtId="0" fontId="8" fillId="0" borderId="7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0" fillId="11" borderId="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adhu Krishna vs" refreshedDate="44586.346837268517" createdVersion="3" refreshedVersion="7" minRefreshableVersion="3" recordCount="38" xr:uid="{2CD55C95-081C-442F-89A7-AB3DF80A9C6A}">
  <cacheSource type="worksheet">
    <worksheetSource ref="A1:K39" sheet="Data"/>
  </cacheSource>
  <cacheFields count="11">
    <cacheField name="Assign to" numFmtId="0">
      <sharedItems containsNonDate="0" containsString="0" containsBlank="1"/>
    </cacheField>
    <cacheField name="Submission ID" numFmtId="0">
      <sharedItems containsBlank="1"/>
    </cacheField>
    <cacheField name="Product Type Group" numFmtId="0">
      <sharedItems count="9">
        <s v="Art &amp; Craft"/>
        <s v="Art Supplies"/>
        <s v="Fabrics, Yarn, &amp; Thread"/>
        <s v="Hooks &amp; Needles Accessories"/>
        <s v="Machines &amp; Cabinets"/>
        <s v="Quilting Accessories"/>
        <s v="Sewing Accessories"/>
        <s v="Sewing, Knitting, &amp; Weaving Kits"/>
        <s v="Weaving Accessories"/>
      </sharedItems>
    </cacheField>
    <cacheField name="Product Type" numFmtId="0">
      <sharedItems containsBlank="1"/>
    </cacheField>
    <cacheField name="Supplier" numFmtId="0">
      <sharedItems containsBlank="1"/>
    </cacheField>
    <cacheField name="Supplier Code" numFmtId="0">
      <sharedItems containsBlank="1"/>
    </cacheField>
    <cacheField name="Workstream" numFmtId="0">
      <sharedItems count="11">
        <s v="Existing 1P Item"/>
        <s v="New 1P Item"/>
        <s v="Ozark 1P Item"/>
        <s v="CVI 1P Item"/>
        <s v="CVI 3P Item"/>
        <s v="Charlotte FC 1P Item"/>
        <s v="Existing 3P ColdStart Item"/>
        <s v="Existing 3P High PV Item"/>
        <s v="Existing 3P Item"/>
        <s v="New 3P Item"/>
        <s v="October Deals for Days 2021 1P Item"/>
      </sharedItems>
    </cacheField>
    <cacheField name="Work Type" numFmtId="0">
      <sharedItems/>
    </cacheField>
    <cacheField name="Item Status" numFmtId="0">
      <sharedItems count="2">
        <s v="Not Started"/>
        <s v="Pending Production"/>
      </sharedItems>
    </cacheField>
    <cacheField name="Template" numFmtId="0">
      <sharedItems containsBlank="1"/>
    </cacheField>
    <cacheField name="# OF ITEMS" numFmtId="0">
      <sharedItems containsString="0" containsBlank="1" containsNumber="1" containsInteger="1" minValue="1" maxValue="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adhu Krishna vs" refreshedDate="44586.346855555559" createdVersion="3" refreshedVersion="7" minRefreshableVersion="3" recordCount="52" xr:uid="{0D1DB9AC-2128-4F4F-A246-DD7664D0068D}">
  <cacheSource type="worksheet">
    <worksheetSource ref="A1:K53" sheet="Revalidation"/>
  </cacheSource>
  <cacheFields count="11">
    <cacheField name="Assign to" numFmtId="0">
      <sharedItems count="2">
        <s v="New"/>
        <s v="Old"/>
      </sharedItems>
    </cacheField>
    <cacheField name="Submission ID" numFmtId="0">
      <sharedItems containsBlank="1"/>
    </cacheField>
    <cacheField name="Product Type Group" numFmtId="0">
      <sharedItems count="9">
        <s v="Art &amp; Craft"/>
        <s v="Sewing, Knitting, &amp; Weaving Kits"/>
        <s v="Weaving Accessories"/>
        <s v="Art Supplies"/>
        <s v="Fabrics, Yarn, &amp; Thread"/>
        <s v="Hooks &amp; Needles Accessories"/>
        <s v="Machines &amp; Cabinets"/>
        <s v="Quilting Accessories"/>
        <s v="Sewing Accessories"/>
      </sharedItems>
    </cacheField>
    <cacheField name="Product Type" numFmtId="0">
      <sharedItems containsBlank="1"/>
    </cacheField>
    <cacheField name="Supplier" numFmtId="0">
      <sharedItems containsBlank="1"/>
    </cacheField>
    <cacheField name="Supplier Code" numFmtId="0">
      <sharedItems containsBlank="1"/>
    </cacheField>
    <cacheField name="Workstream" numFmtId="0">
      <sharedItems count="11">
        <s v="CVI 1P Item"/>
        <s v="CVI 3P Item"/>
        <s v="Existing 3P ColdStart Item"/>
        <s v="Existing 3P High PV Item"/>
        <s v="New 1P Item"/>
        <s v="Ozark 1P Item"/>
        <s v="Charlotte FC 1P Item"/>
        <s v="Existing 1P Item"/>
        <s v="Existing 3P Item"/>
        <s v="New 3P Item"/>
        <s v="October Deals for Days 2021 1P Item"/>
      </sharedItems>
    </cacheField>
    <cacheField name="Work Type" numFmtId="0">
      <sharedItems containsBlank="1"/>
    </cacheField>
    <cacheField name="Item Status" numFmtId="0">
      <sharedItems containsBlank="1"/>
    </cacheField>
    <cacheField name="Template" numFmtId="0">
      <sharedItems containsBlank="1"/>
    </cacheField>
    <cacheField name="# OF ITEMS" numFmtId="0">
      <sharedItems containsString="0" containsBlank="1" containsNumber="1" containsInteger="1" minValue="1" maxValue="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adhu Krishna vs" refreshedDate="44586.346876157404" createdVersion="3" refreshedVersion="7" minRefreshableVersion="3" recordCount="174" xr:uid="{B498A5DE-F5C1-45AE-A72A-A7B40E701F4D}">
  <cacheSource type="worksheet">
    <worksheetSource ref="A1:K175" sheet="QC"/>
  </cacheSource>
  <cacheFields count="11">
    <cacheField name="Assign to" numFmtId="0">
      <sharedItems containsNonDate="0" containsString="0" containsBlank="1"/>
    </cacheField>
    <cacheField name="Submission ID" numFmtId="0">
      <sharedItems containsBlank="1"/>
    </cacheField>
    <cacheField name="Product Type Group" numFmtId="0">
      <sharedItems containsBlank="1"/>
    </cacheField>
    <cacheField name="Product Type" numFmtId="0">
      <sharedItems containsBlank="1"/>
    </cacheField>
    <cacheField name="Supplier" numFmtId="0">
      <sharedItems containsBlank="1"/>
    </cacheField>
    <cacheField name="Supplier Code" numFmtId="0">
      <sharedItems containsBlank="1"/>
    </cacheField>
    <cacheField name="Workstream" numFmtId="0">
      <sharedItems count="11">
        <s v="CVI 1P Item"/>
        <s v="CVI 3P Item"/>
        <s v="Existing 3P ColdStart Item"/>
        <s v="Existing 3P High PV Item"/>
        <s v="Existing 1P Item"/>
        <s v="New 1P Item"/>
        <s v="Ozark 1P Item"/>
        <s v="Charlotte FC 1P Item"/>
        <s v="Existing 3P Item"/>
        <s v="New 3P Item"/>
        <s v="October Deals for Days 2021 1P Item"/>
      </sharedItems>
    </cacheField>
    <cacheField name="Work Type" numFmtId="0">
      <sharedItems count="3">
        <s v="Follow-up"/>
        <s v="Supplier Communication"/>
        <s v="Normal QC"/>
      </sharedItems>
    </cacheField>
    <cacheField name="Item Status" numFmtId="0">
      <sharedItems/>
    </cacheField>
    <cacheField name="Template" numFmtId="0">
      <sharedItems count="2">
        <s v="Category"/>
        <s v="PTG"/>
      </sharedItems>
    </cacheField>
    <cacheField name="# OF ITEMS" numFmtId="0">
      <sharedItems containsString="0" containsBlank="1" containsNumber="1" containsInteger="1" minValue="1" maxValue="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m/>
    <s v="Existing_1P_Art_&amp;_Craft_2020_11_12_21186"/>
    <x v="0"/>
    <s v="Ribbons &amp; Bows"/>
    <s v="YAMA RIBBONS AND BOWS CO LTD"/>
    <s v="21186"/>
    <x v="0"/>
    <s v="Raw Data"/>
    <x v="0"/>
    <s v="Category"/>
    <n v="1"/>
  </r>
  <r>
    <m/>
    <s v="New_1P_Art_&amp;_Craft_2022_01_25_504485"/>
    <x v="0"/>
    <s v="Stickers"/>
    <s v="BENDON PUBLISHING INTERNATIONAL INC"/>
    <s v="504485"/>
    <x v="1"/>
    <s v="Raw Data"/>
    <x v="0"/>
    <s v="Category"/>
    <n v="1"/>
  </r>
  <r>
    <m/>
    <s v="New_1P_Art_&amp;_Craft_2022_01_25_58005"/>
    <x v="0"/>
    <s v="Art &amp; Craft Tape"/>
    <s v="STRING KING LACROSSE, LLC"/>
    <s v="58005"/>
    <x v="1"/>
    <s v="Raw Data"/>
    <x v="0"/>
    <s v="Category"/>
    <n v="2"/>
  </r>
  <r>
    <m/>
    <s v="New_1P_Art_&amp;_Craft_2022_01_25_740042"/>
    <x v="0"/>
    <s v="Stickers"/>
    <s v="STEVEN B GOLDEN ASSOCIATES"/>
    <s v="740042"/>
    <x v="1"/>
    <s v="Raw Data"/>
    <x v="0"/>
    <s v="Category"/>
    <n v="1"/>
  </r>
  <r>
    <m/>
    <s v="New_1P_Art_&amp;_Craft_2022_01_25_820584"/>
    <x v="0"/>
    <s v="Craft &amp; Hobby Storage Bags &amp; Cases"/>
    <s v="Mizar Holding Company, Inc"/>
    <s v="820584"/>
    <x v="1"/>
    <s v="Raw Data"/>
    <x v="0"/>
    <s v="Category"/>
    <n v="2"/>
  </r>
  <r>
    <m/>
    <s v="New_1P_Art_&amp;_Craft_2022_01_25_820584"/>
    <x v="0"/>
    <s v="Cutting Mats"/>
    <s v="Mizar Holding Company, Inc"/>
    <s v="820584"/>
    <x v="1"/>
    <s v="Raw Data"/>
    <x v="0"/>
    <s v="Category"/>
    <n v="1"/>
  </r>
  <r>
    <m/>
    <s v="New_1P_Art_&amp;_Craft_2022_01_25_820584"/>
    <x v="0"/>
    <s v="Scrapbooking Embellishments"/>
    <s v="Mizar Holding Company, Inc"/>
    <s v="820584"/>
    <x v="1"/>
    <s v="Raw Data"/>
    <x v="0"/>
    <s v="Category"/>
    <n v="1"/>
  </r>
  <r>
    <m/>
    <s v="New_1P_Art_Supplies_2022_01_25_11919"/>
    <x v="1"/>
    <s v="Art Pads &amp; Paper"/>
    <s v="HORIZON GROUP USA INC"/>
    <s v="11919"/>
    <x v="1"/>
    <s v="Raw Data"/>
    <x v="0"/>
    <s v="PTG"/>
    <n v="1"/>
  </r>
  <r>
    <m/>
    <s v="New_1P_Art_Supplies_2022_01_25_25166"/>
    <x v="1"/>
    <s v="Crayons"/>
    <s v="QINGDAO ROOTING CO., LTD"/>
    <s v="25166"/>
    <x v="1"/>
    <s v="Raw Data"/>
    <x v="0"/>
    <s v="PTG"/>
    <n v="1"/>
  </r>
  <r>
    <m/>
    <s v="New_1P_Art_Supplies_2022_01_25_740042"/>
    <x v="1"/>
    <s v="Glitter"/>
    <s v="STEVEN B GOLDEN ASSOCIATES"/>
    <s v="740042"/>
    <x v="1"/>
    <s v="Raw Data"/>
    <x v="0"/>
    <s v="PTG"/>
    <n v="2"/>
  </r>
  <r>
    <m/>
    <s v="New_1P_Art_Supplies_2022_01_25_820584"/>
    <x v="1"/>
    <s v="Art &amp; Craft Kits"/>
    <s v="Mizar Holding Company, Inc"/>
    <s v="820584"/>
    <x v="1"/>
    <s v="Raw Data"/>
    <x v="0"/>
    <s v="PTG"/>
    <n v="1"/>
  </r>
  <r>
    <m/>
    <s v="New_1P_Art_Supplies_2022_01_25_84118"/>
    <x v="1"/>
    <s v="Art &amp; Craft Kits"/>
    <s v="Bright Star Products L.L.C."/>
    <s v="84118"/>
    <x v="1"/>
    <s v="Raw Data"/>
    <x v="0"/>
    <s v="PTG"/>
    <n v="13"/>
  </r>
  <r>
    <m/>
    <s v="New_1P_Art_Supplies_2022_01_25_9375"/>
    <x v="1"/>
    <s v="Artwork Cases &amp; Portfolios"/>
    <s v="CONTINENTAL ACCESSORY CORP"/>
    <s v="9375"/>
    <x v="1"/>
    <s v="Raw Data"/>
    <x v="0"/>
    <s v="PTG"/>
    <n v="2"/>
  </r>
  <r>
    <m/>
    <s v="New_1P_Fabrics,_Yarn,_&amp;_Thread_2022_01_25_753913"/>
    <x v="2"/>
    <s v="Cross-Stitch Aida Cloth"/>
    <s v="Vista Partners, Inc. dba Petersen-Arne"/>
    <s v="753913"/>
    <x v="1"/>
    <s v="Raw Data"/>
    <x v="0"/>
    <s v="PTG"/>
    <n v="4"/>
  </r>
  <r>
    <m/>
    <s v="OZ_1P_Art_&amp;_Craft_2020_10_12_504485"/>
    <x v="1"/>
    <s v="Coloring Books"/>
    <s v="BENDON PUBLISHING INTERNATIONAL INC"/>
    <s v="504485"/>
    <x v="2"/>
    <s v="Normal Production"/>
    <x v="1"/>
    <s v="PTG"/>
    <n v="5"/>
  </r>
  <r>
    <m/>
    <s v="OZ_1P_Art_&amp;_Craft_2020_10_12_504485"/>
    <x v="1"/>
    <s v="Coloring Books"/>
    <s v="BENDON PUBLISHING INTERNATIONAL INC"/>
    <s v="504485"/>
    <x v="2"/>
    <s v="Normal Production"/>
    <x v="1"/>
    <s v="PTG"/>
    <n v="3"/>
  </r>
  <r>
    <m/>
    <m/>
    <x v="0"/>
    <m/>
    <m/>
    <m/>
    <x v="3"/>
    <s v="Raw Data"/>
    <x v="0"/>
    <m/>
    <m/>
  </r>
  <r>
    <m/>
    <m/>
    <x v="1"/>
    <m/>
    <m/>
    <m/>
    <x v="4"/>
    <s v="Raw Data"/>
    <x v="0"/>
    <m/>
    <m/>
  </r>
  <r>
    <m/>
    <m/>
    <x v="2"/>
    <m/>
    <m/>
    <m/>
    <x v="5"/>
    <s v="Raw Data"/>
    <x v="0"/>
    <m/>
    <m/>
  </r>
  <r>
    <m/>
    <m/>
    <x v="3"/>
    <m/>
    <m/>
    <m/>
    <x v="0"/>
    <s v="Raw Data"/>
    <x v="0"/>
    <m/>
    <m/>
  </r>
  <r>
    <m/>
    <m/>
    <x v="4"/>
    <m/>
    <m/>
    <m/>
    <x v="6"/>
    <s v="Raw Data"/>
    <x v="0"/>
    <m/>
    <m/>
  </r>
  <r>
    <m/>
    <m/>
    <x v="5"/>
    <m/>
    <m/>
    <m/>
    <x v="7"/>
    <s v="Raw Data"/>
    <x v="0"/>
    <m/>
    <m/>
  </r>
  <r>
    <m/>
    <m/>
    <x v="6"/>
    <m/>
    <m/>
    <m/>
    <x v="8"/>
    <s v="Raw Data"/>
    <x v="0"/>
    <m/>
    <m/>
  </r>
  <r>
    <m/>
    <m/>
    <x v="7"/>
    <m/>
    <m/>
    <m/>
    <x v="1"/>
    <s v="Raw Data"/>
    <x v="0"/>
    <m/>
    <m/>
  </r>
  <r>
    <m/>
    <m/>
    <x v="8"/>
    <m/>
    <m/>
    <m/>
    <x v="9"/>
    <s v="Raw Data"/>
    <x v="0"/>
    <m/>
    <m/>
  </r>
  <r>
    <m/>
    <m/>
    <x v="8"/>
    <m/>
    <m/>
    <m/>
    <x v="10"/>
    <s v="Raw Data"/>
    <x v="0"/>
    <m/>
    <m/>
  </r>
  <r>
    <m/>
    <m/>
    <x v="8"/>
    <m/>
    <m/>
    <m/>
    <x v="2"/>
    <s v="Raw Data"/>
    <x v="0"/>
    <m/>
    <m/>
  </r>
  <r>
    <m/>
    <m/>
    <x v="0"/>
    <m/>
    <m/>
    <m/>
    <x v="3"/>
    <s v="Normal Production"/>
    <x v="1"/>
    <m/>
    <m/>
  </r>
  <r>
    <m/>
    <m/>
    <x v="1"/>
    <m/>
    <m/>
    <m/>
    <x v="4"/>
    <s v="Normal Production"/>
    <x v="1"/>
    <m/>
    <m/>
  </r>
  <r>
    <m/>
    <m/>
    <x v="2"/>
    <m/>
    <m/>
    <m/>
    <x v="5"/>
    <s v="Normal Production"/>
    <x v="1"/>
    <m/>
    <m/>
  </r>
  <r>
    <m/>
    <m/>
    <x v="3"/>
    <m/>
    <m/>
    <m/>
    <x v="0"/>
    <s v="Normal Production"/>
    <x v="1"/>
    <m/>
    <m/>
  </r>
  <r>
    <m/>
    <m/>
    <x v="4"/>
    <m/>
    <m/>
    <m/>
    <x v="6"/>
    <s v="Normal Production"/>
    <x v="1"/>
    <m/>
    <m/>
  </r>
  <r>
    <m/>
    <m/>
    <x v="5"/>
    <m/>
    <m/>
    <m/>
    <x v="7"/>
    <s v="Normal Production"/>
    <x v="1"/>
    <m/>
    <m/>
  </r>
  <r>
    <m/>
    <m/>
    <x v="6"/>
    <m/>
    <m/>
    <m/>
    <x v="8"/>
    <s v="Normal Production"/>
    <x v="1"/>
    <m/>
    <m/>
  </r>
  <r>
    <m/>
    <m/>
    <x v="7"/>
    <m/>
    <m/>
    <m/>
    <x v="1"/>
    <s v="Normal Production"/>
    <x v="1"/>
    <m/>
    <m/>
  </r>
  <r>
    <m/>
    <m/>
    <x v="8"/>
    <m/>
    <m/>
    <m/>
    <x v="9"/>
    <s v="Normal Production"/>
    <x v="1"/>
    <m/>
    <m/>
  </r>
  <r>
    <m/>
    <m/>
    <x v="8"/>
    <m/>
    <m/>
    <m/>
    <x v="2"/>
    <s v="Normal Production"/>
    <x v="1"/>
    <m/>
    <m/>
  </r>
  <r>
    <m/>
    <m/>
    <x v="8"/>
    <m/>
    <m/>
    <m/>
    <x v="10"/>
    <s v="Normal Production"/>
    <x v="1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x v="0"/>
    <s v="CV_1P_Fabric_Craft_2021_11_23_459302"/>
    <x v="0"/>
    <s v="Fabric Dyes"/>
    <s v="DUNCAN ENTERPRISES"/>
    <s v="459302"/>
    <x v="0"/>
    <s v="Supplier Communication"/>
    <s v="Revalidation Production Pending"/>
    <s v="PTG"/>
    <n v="1"/>
  </r>
  <r>
    <x v="0"/>
    <s v="CV_1P_Sewing,_Knitting,_&amp;_Weaving_Kits_2021_11_16_95052"/>
    <x v="1"/>
    <s v="Knitting Kits"/>
    <s v="FLAT RIVER GROUP LLC"/>
    <s v="95052"/>
    <x v="0"/>
    <s v="Supplier Communication"/>
    <s v="Revalidation Production Pending"/>
    <s v="PTG"/>
    <n v="1"/>
  </r>
  <r>
    <x v="0"/>
    <s v="CV_3P_Art_&amp;_Craft_2021_11_17_E52A100D365849B495438700E68AF05F"/>
    <x v="0"/>
    <s v="Unfinished Wood"/>
    <s v="-"/>
    <s v="E52A100D365849B495438700E68AF05F"/>
    <x v="1"/>
    <s v="Supplier Communication"/>
    <s v="Revalidation Production Pending"/>
    <s v="Category"/>
    <n v="1"/>
  </r>
  <r>
    <x v="0"/>
    <s v="CV_3P_Art_&amp;_Craft_2021_12_10_E6A4A37B35DF4F238585BFD03616CFA8"/>
    <x v="0"/>
    <s v="Craft Vinyl"/>
    <s v="Heatpress District Inc"/>
    <s v="E6A4A37B35DF4F238585BFD03616CFA8"/>
    <x v="1"/>
    <s v="Supplier Communication"/>
    <s v="Revalidation Production Pending"/>
    <s v="Category"/>
    <n v="1"/>
  </r>
  <r>
    <x v="0"/>
    <s v="ECS_3P_Art_&amp;_Craft_2021_09_24_10000001549"/>
    <x v="0"/>
    <s v="Beading Needles"/>
    <s v="TNT Deals, Inc"/>
    <s v="10000001549"/>
    <x v="2"/>
    <s v="Supplier Communication"/>
    <s v="Revalidation Production Pending"/>
    <s v="Category"/>
    <n v="1"/>
  </r>
  <r>
    <x v="0"/>
    <s v="ECS_3P_Art_&amp;_Craft_2021_09_24_10000001549"/>
    <x v="0"/>
    <s v="Construction Paper"/>
    <s v="TNT Deals, Inc"/>
    <s v="10000001549"/>
    <x v="2"/>
    <s v="Supplier Communication"/>
    <s v="Revalidation Production Pending"/>
    <s v="Category"/>
    <n v="1"/>
  </r>
  <r>
    <x v="0"/>
    <s v="ECS_3P_Art_&amp;_Craft_2021_09_24_10000001549"/>
    <x v="0"/>
    <s v="Stamps &amp; Stamp Sets"/>
    <s v="TNT Deals, Inc"/>
    <s v="10000001549"/>
    <x v="2"/>
    <s v="Supplier Communication"/>
    <s v="Revalidation Production Pending"/>
    <s v="Category"/>
    <n v="1"/>
  </r>
  <r>
    <x v="0"/>
    <s v="ECS_3P_Art_&amp;_Craft_2021_09_24_10000001836"/>
    <x v="0"/>
    <s v="Art &amp; Craft Tape"/>
    <s v="Axon US Corp"/>
    <s v="10000001836"/>
    <x v="2"/>
    <s v="Supplier Communication"/>
    <s v="Revalidation Production Pending"/>
    <s v="Category"/>
    <n v="1"/>
  </r>
  <r>
    <x v="0"/>
    <s v="ECS_3P_Weaving_Accessories_2021_09_24_10000001246"/>
    <x v="2"/>
    <s v="Weaving Warping Tools"/>
    <s v="Beadaholique.com"/>
    <s v="10000001246"/>
    <x v="2"/>
    <s v="Supplier Communication"/>
    <s v="Revalidation Production Pending"/>
    <s v="PTG"/>
    <n v="1"/>
  </r>
  <r>
    <x v="0"/>
    <s v="EHPV_3P_Art_&amp;_Craft_2021_08_19_10000001424"/>
    <x v="0"/>
    <s v="Craft Vinyl"/>
    <s v="huoilum corp"/>
    <s v="10000001424"/>
    <x v="3"/>
    <s v="Supplier Communication"/>
    <s v="Revalidation Production Pending"/>
    <s v="Category"/>
    <n v="1"/>
  </r>
  <r>
    <x v="0"/>
    <s v="EHPV_3P_Art_&amp;_Craft_2021_08_25_10000000517"/>
    <x v="0"/>
    <s v="Unfinished Wood"/>
    <s v="Vir Ventures Inc."/>
    <s v="10000000517"/>
    <x v="3"/>
    <s v="Supplier Communication"/>
    <s v="Revalidation Production Pending"/>
    <s v="Category"/>
    <n v="1"/>
  </r>
  <r>
    <x v="0"/>
    <s v="EHPV_3P_Art_&amp;_Craft_2021_08_25_10000001200"/>
    <x v="0"/>
    <s v="Photo Albums"/>
    <s v="Quality Photo"/>
    <s v="10000001200"/>
    <x v="3"/>
    <s v="Supplier Communication"/>
    <s v="Revalidation Production Pending"/>
    <s v="Category"/>
    <n v="1"/>
  </r>
  <r>
    <x v="0"/>
    <s v="EHPV_3P_Art_&amp;_Craft_2021_08_25_10000001246"/>
    <x v="0"/>
    <s v="Beading Needles"/>
    <s v="Beadaholique.com"/>
    <s v="10000001246"/>
    <x v="3"/>
    <s v="Supplier Communication"/>
    <s v="Revalidation Production Pending"/>
    <s v="Category"/>
    <n v="2"/>
  </r>
  <r>
    <x v="0"/>
    <s v="EHPV_3P_Art_&amp;_Craft_2021_08_25_10000001246"/>
    <x v="0"/>
    <s v="Craft Sticks"/>
    <s v="Beadaholique.com"/>
    <s v="10000001246"/>
    <x v="3"/>
    <s v="Supplier Communication"/>
    <s v="Revalidation Production Pending"/>
    <s v="Category"/>
    <n v="1"/>
  </r>
  <r>
    <x v="0"/>
    <s v="EHPV_3P_Art_&amp;_Craft_2021_08_25_10000001246"/>
    <x v="0"/>
    <s v="Earring Components"/>
    <s v="Beadaholique.com"/>
    <s v="10000001246"/>
    <x v="3"/>
    <s v="Supplier Communication"/>
    <s v="Revalidation Production Pending"/>
    <s v="Category"/>
    <n v="6"/>
  </r>
  <r>
    <x v="0"/>
    <s v="EHPV_3P_Art_&amp;_Craft_2021_08_25_10000001246"/>
    <x v="0"/>
    <s v="Jewelry Head &amp; Eye Pins"/>
    <s v="Beadaholique.com"/>
    <s v="10000001246"/>
    <x v="3"/>
    <s v="Supplier Communication"/>
    <s v="Revalidation Production Pending"/>
    <s v="Category"/>
    <n v="3"/>
  </r>
  <r>
    <x v="0"/>
    <s v="EHPV_3P_Art_&amp;_Craft_2021_08_25_10000001246"/>
    <x v="0"/>
    <s v="Jewelry Jump Rings &amp; Split Rings"/>
    <s v="Beadaholique.com"/>
    <s v="10000001246"/>
    <x v="3"/>
    <s v="Supplier Communication"/>
    <s v="Revalidation Production Pending"/>
    <s v="Category"/>
    <n v="5"/>
  </r>
  <r>
    <x v="0"/>
    <s v="EHPV_3P_Art_&amp;_Craft_2021_08_25_10000001246"/>
    <x v="0"/>
    <s v="Jewelry Making Embellishments"/>
    <s v="Beadaholique.com"/>
    <s v="10000001246"/>
    <x v="3"/>
    <s v="Supplier Communication"/>
    <s v="Revalidation Production Pending"/>
    <s v="Category"/>
    <n v="1"/>
  </r>
  <r>
    <x v="0"/>
    <s v="EHPV_3P_Art_&amp;_Craft_2021_08_25_10000001246"/>
    <x v="0"/>
    <s v="Jewelry Pin Backs"/>
    <s v="Beadaholique.com"/>
    <s v="10000001246"/>
    <x v="3"/>
    <s v="Supplier Communication"/>
    <s v="Revalidation Production Pending"/>
    <s v="Category"/>
    <n v="1"/>
  </r>
  <r>
    <x v="0"/>
    <s v="EHPV_3P_Art_&amp;_Craft_2021_08_25_10000001836"/>
    <x v="0"/>
    <s v="Art &amp; Craft Tape"/>
    <s v="Axon US Corp"/>
    <s v="10000001836"/>
    <x v="3"/>
    <s v="Supplier Communication"/>
    <s v="Revalidation Production Pending"/>
    <s v="Category"/>
    <n v="1"/>
  </r>
  <r>
    <x v="0"/>
    <s v="EHPV_3P_Art_&amp;_Craft_2021_08_25_10000001836"/>
    <x v="0"/>
    <s v="Transfer Paper"/>
    <s v="Axon US Corp"/>
    <s v="10000001836"/>
    <x v="3"/>
    <s v="Supplier Communication"/>
    <s v="Revalidation Production Pending"/>
    <s v="Category"/>
    <n v="2"/>
  </r>
  <r>
    <x v="0"/>
    <s v="EHPV_3P_Art_&amp;_Craft_2021_08_25_10000001836"/>
    <x v="0"/>
    <s v="Unfinished Wood"/>
    <s v="Axon US Corp"/>
    <s v="10000001836"/>
    <x v="3"/>
    <s v="Supplier Communication"/>
    <s v="Revalidation Production Pending"/>
    <s v="Category"/>
    <n v="1"/>
  </r>
  <r>
    <x v="0"/>
    <s v="EHPV_3P_Art_&amp;_Craft_2021_08_25_10000012310"/>
    <x v="0"/>
    <s v="Craft Eyes"/>
    <s v="PFACC LLC."/>
    <s v="10000012310"/>
    <x v="3"/>
    <s v="Supplier Communication"/>
    <s v="Revalidation Production Pending"/>
    <s v="Category"/>
    <n v="1"/>
  </r>
  <r>
    <x v="0"/>
    <s v="New_1P_Art_&amp;_Craft_2021_08_24_459302"/>
    <x v="0"/>
    <s v="Fabric Dyes"/>
    <s v="DUNCAN ENTERPRISES"/>
    <s v="459302"/>
    <x v="4"/>
    <s v="Supplier Communication"/>
    <s v="Revalidation Production Pending"/>
    <s v="Category"/>
    <n v="2"/>
  </r>
  <r>
    <x v="0"/>
    <s v="New_1P_Art_&amp;_Craft_2021_10_17_636222"/>
    <x v="0"/>
    <s v="Stickers"/>
    <s v="Trends International, LLC"/>
    <s v="636222"/>
    <x v="4"/>
    <s v="Supplier Communication"/>
    <s v="Revalidation Production Pending"/>
    <s v="Category"/>
    <n v="1"/>
  </r>
  <r>
    <x v="0"/>
    <s v="New_1P_Art_&amp;_Craft_2021_12_03_636222"/>
    <x v="0"/>
    <s v="Stickers"/>
    <s v="Trends International, LLC"/>
    <s v="636222"/>
    <x v="4"/>
    <s v="Supplier Communication"/>
    <s v="Revalidation Production Pending"/>
    <s v="Category"/>
    <n v="2"/>
  </r>
  <r>
    <x v="0"/>
    <s v="New_1P_Art_&amp;_Craft_2021_12_11_69931"/>
    <x v="0"/>
    <s v="Craft &amp; Hobby Storage Bags &amp; Cases"/>
    <s v="ANKYO DEVELOPMENT LIMITED"/>
    <s v="69931"/>
    <x v="4"/>
    <s v="Supplier Communication"/>
    <s v="Revalidation Production Pending"/>
    <s v="Category"/>
    <n v="1"/>
  </r>
  <r>
    <x v="0"/>
    <s v="OZ_1P_Fabrics,_Yarn,_&amp;_Thread_2021_10_26_508804"/>
    <x v="0"/>
    <s v="Sewing &amp; Craft Fabric"/>
    <s v="CHINATEX ORIENTAL USA INC"/>
    <s v="508804"/>
    <x v="5"/>
    <s v="Supplier Communication"/>
    <s v="Revalidation Production Pending"/>
    <s v="Category"/>
    <n v="1"/>
  </r>
  <r>
    <x v="0"/>
    <s v="OZ_1P_Fabrics,_Yarn,_&amp;_Thread_2021_10_26_508804"/>
    <x v="0"/>
    <s v="Sewing &amp; Craft Fabric"/>
    <s v="CHINATEX ORIENTAL USA INC"/>
    <s v="508804"/>
    <x v="5"/>
    <s v="Supplier Communication"/>
    <s v="Revalidation Production Pending"/>
    <s v="Category"/>
    <n v="41"/>
  </r>
  <r>
    <x v="0"/>
    <s v="OZ_1P_Fabrics,_Yarn,_and_Thread_2020_08_12_360297"/>
    <x v="0"/>
    <s v="Sewing &amp; Craft Fabric"/>
    <s v="DAVID TEXTILES INC"/>
    <s v="360297"/>
    <x v="5"/>
    <s v="Supplier Communication"/>
    <s v="Revalidation Production Pending"/>
    <s v="Category"/>
    <n v="32"/>
  </r>
  <r>
    <x v="1"/>
    <m/>
    <x v="0"/>
    <m/>
    <m/>
    <m/>
    <x v="0"/>
    <m/>
    <m/>
    <m/>
    <m/>
  </r>
  <r>
    <x v="1"/>
    <m/>
    <x v="3"/>
    <m/>
    <m/>
    <m/>
    <x v="1"/>
    <m/>
    <m/>
    <m/>
    <m/>
  </r>
  <r>
    <x v="1"/>
    <m/>
    <x v="4"/>
    <m/>
    <m/>
    <m/>
    <x v="6"/>
    <m/>
    <m/>
    <m/>
    <m/>
  </r>
  <r>
    <x v="1"/>
    <m/>
    <x v="5"/>
    <m/>
    <m/>
    <m/>
    <x v="7"/>
    <m/>
    <m/>
    <m/>
    <m/>
  </r>
  <r>
    <x v="1"/>
    <m/>
    <x v="6"/>
    <m/>
    <m/>
    <m/>
    <x v="2"/>
    <m/>
    <m/>
    <m/>
    <m/>
  </r>
  <r>
    <x v="1"/>
    <m/>
    <x v="7"/>
    <m/>
    <m/>
    <m/>
    <x v="3"/>
    <m/>
    <m/>
    <m/>
    <m/>
  </r>
  <r>
    <x v="1"/>
    <m/>
    <x v="8"/>
    <m/>
    <m/>
    <m/>
    <x v="8"/>
    <m/>
    <m/>
    <m/>
    <m/>
  </r>
  <r>
    <x v="1"/>
    <m/>
    <x v="1"/>
    <m/>
    <m/>
    <m/>
    <x v="4"/>
    <m/>
    <m/>
    <m/>
    <m/>
  </r>
  <r>
    <x v="1"/>
    <m/>
    <x v="2"/>
    <m/>
    <m/>
    <m/>
    <x v="9"/>
    <m/>
    <m/>
    <m/>
    <m/>
  </r>
  <r>
    <x v="1"/>
    <m/>
    <x v="2"/>
    <m/>
    <m/>
    <m/>
    <x v="10"/>
    <m/>
    <m/>
    <m/>
    <m/>
  </r>
  <r>
    <x v="1"/>
    <m/>
    <x v="2"/>
    <m/>
    <m/>
    <m/>
    <x v="5"/>
    <m/>
    <m/>
    <m/>
    <m/>
  </r>
  <r>
    <x v="0"/>
    <m/>
    <x v="0"/>
    <m/>
    <m/>
    <m/>
    <x v="0"/>
    <m/>
    <m/>
    <m/>
    <m/>
  </r>
  <r>
    <x v="0"/>
    <m/>
    <x v="3"/>
    <m/>
    <m/>
    <m/>
    <x v="1"/>
    <m/>
    <m/>
    <m/>
    <m/>
  </r>
  <r>
    <x v="0"/>
    <m/>
    <x v="4"/>
    <m/>
    <m/>
    <m/>
    <x v="6"/>
    <m/>
    <m/>
    <m/>
    <m/>
  </r>
  <r>
    <x v="0"/>
    <m/>
    <x v="5"/>
    <m/>
    <m/>
    <m/>
    <x v="7"/>
    <m/>
    <m/>
    <m/>
    <m/>
  </r>
  <r>
    <x v="0"/>
    <m/>
    <x v="6"/>
    <m/>
    <m/>
    <m/>
    <x v="2"/>
    <m/>
    <m/>
    <m/>
    <m/>
  </r>
  <r>
    <x v="0"/>
    <m/>
    <x v="7"/>
    <m/>
    <m/>
    <m/>
    <x v="3"/>
    <m/>
    <m/>
    <m/>
    <m/>
  </r>
  <r>
    <x v="0"/>
    <m/>
    <x v="8"/>
    <m/>
    <m/>
    <m/>
    <x v="8"/>
    <m/>
    <m/>
    <m/>
    <m/>
  </r>
  <r>
    <x v="0"/>
    <m/>
    <x v="1"/>
    <m/>
    <m/>
    <m/>
    <x v="4"/>
    <m/>
    <m/>
    <m/>
    <m/>
  </r>
  <r>
    <x v="0"/>
    <m/>
    <x v="2"/>
    <m/>
    <m/>
    <m/>
    <x v="9"/>
    <m/>
    <m/>
    <m/>
    <m/>
  </r>
  <r>
    <x v="0"/>
    <m/>
    <x v="2"/>
    <m/>
    <m/>
    <m/>
    <x v="5"/>
    <m/>
    <m/>
    <m/>
    <m/>
  </r>
  <r>
    <x v="0"/>
    <m/>
    <x v="2"/>
    <m/>
    <m/>
    <m/>
    <x v="10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4">
  <r>
    <m/>
    <s v="CV_1P_Art_&amp;_Craft_2021_11_17_753913"/>
    <s v="Paper Craft"/>
    <s v="Craft Paper"/>
    <s v="Vista Partners, Inc. dba Petersen-Arne"/>
    <s v="753913"/>
    <x v="0"/>
    <x v="0"/>
    <s v="Pending CQ Ops"/>
    <x v="0"/>
    <n v="1"/>
  </r>
  <r>
    <m/>
    <s v="CV_1P_Art_&amp;_Craft_2022_01_18_121681"/>
    <s v="Supplies"/>
    <s v="Art &amp; Craft Styrofoam"/>
    <s v="FLORACRAFT CORPORATION"/>
    <s v="121681"/>
    <x v="0"/>
    <x v="0"/>
    <s v="Pending CQ Ops"/>
    <x v="0"/>
    <n v="1"/>
  </r>
  <r>
    <m/>
    <s v="CV_1P_Art_&amp;_Craft_2022_01_18_143"/>
    <s v="Tangible Art"/>
    <s v="Carving Tools &amp; Kits"/>
    <s v="HOLIDAY TIMES UNLIMITED INC"/>
    <s v="143"/>
    <x v="0"/>
    <x v="0"/>
    <s v="Pending CQ Ops"/>
    <x v="0"/>
    <n v="1"/>
  </r>
  <r>
    <m/>
    <s v="CV_1P_Art_&amp;_Craft_2022_01_18_296173"/>
    <s v="Tangible Art"/>
    <s v="Jewelry Making &amp; Beading Kits"/>
    <s v="NEW VIEW GIFTS AND ACCESSORIES"/>
    <s v="296173"/>
    <x v="0"/>
    <x v="0"/>
    <s v="Pending CQ Ops"/>
    <x v="0"/>
    <n v="1"/>
  </r>
  <r>
    <m/>
    <s v="CV_1P_Art_&amp;_Craft_2022_01_18_424556"/>
    <s v="Paper Craft"/>
    <s v="Stamps &amp; Stamp Sets"/>
    <s v="MELISSA &amp; DOUG LLC"/>
    <s v="424556"/>
    <x v="0"/>
    <x v="0"/>
    <s v="Pending CQ Ops"/>
    <x v="0"/>
    <n v="1"/>
  </r>
  <r>
    <m/>
    <s v="CV_1P_Art_&amp;_Craft_2022_01_18_441030"/>
    <s v="Paper Craft"/>
    <s v="Die-Cut Machines"/>
    <s v="D&amp;H DISTRIBUTING CO"/>
    <s v="441030"/>
    <x v="0"/>
    <x v="0"/>
    <s v="Pending CQ Ops"/>
    <x v="0"/>
    <n v="1"/>
  </r>
  <r>
    <m/>
    <s v="CV_1P_Art_Supplies_2021_10_12_752112"/>
    <s v="Art Supplies"/>
    <s v="Glitter"/>
    <s v="ADVANTUS CORP"/>
    <s v="752112"/>
    <x v="0"/>
    <x v="0"/>
    <s v="Pending CQ Ops"/>
    <x v="1"/>
    <n v="1"/>
  </r>
  <r>
    <m/>
    <s v="CV_1P_Art_Supplies_2021_11_18_753913"/>
    <s v="Art Supplies"/>
    <s v="Art &amp; Craft Kits"/>
    <s v="Vista Partners, Inc. dba Petersen-Arne"/>
    <s v="753913"/>
    <x v="0"/>
    <x v="0"/>
    <s v="Pending CQ Ops"/>
    <x v="1"/>
    <n v="1"/>
  </r>
  <r>
    <m/>
    <s v="CV_1P_Art_Supplies_2021_11_20_166793"/>
    <s v="Art Supplies"/>
    <s v="Art &amp; Craft Kits"/>
    <s v="UNIVERSITY GAMES"/>
    <s v="166793"/>
    <x v="0"/>
    <x v="0"/>
    <s v="Pending CQ Ops"/>
    <x v="1"/>
    <n v="1"/>
  </r>
  <r>
    <m/>
    <s v="CV_1P_Art_Supplies_2021_11_23_753913"/>
    <s v="Art Supplies"/>
    <s v="Art Paint Finishes"/>
    <s v="Vista Partners, Inc. dba Petersen-Arne"/>
    <s v="753913"/>
    <x v="0"/>
    <x v="0"/>
    <s v="Pending CQ Ops"/>
    <x v="1"/>
    <n v="1"/>
  </r>
  <r>
    <m/>
    <s v="CV_1P_Art_Supplies_2021_11_23_753913"/>
    <s v="Art Supplies"/>
    <s v="Art Paints &amp; Pigment Powders"/>
    <s v="Vista Partners, Inc. dba Petersen-Arne"/>
    <s v="753913"/>
    <x v="0"/>
    <x v="0"/>
    <s v="Pending CQ Ops"/>
    <x v="1"/>
    <n v="1"/>
  </r>
  <r>
    <m/>
    <s v="CV_1P_Art_Supplies_2021_12_22_864515"/>
    <s v="Art Supplies"/>
    <s v="Sand Art Supplies"/>
    <s v="A.W. Faber-Castell USA Inc."/>
    <s v="864515"/>
    <x v="0"/>
    <x v="0"/>
    <s v="Pending CQ Ops"/>
    <x v="1"/>
    <n v="1"/>
  </r>
  <r>
    <m/>
    <s v="CV_1P_Art_Supplies_2022_01_12_57000"/>
    <s v="Art Supplies"/>
    <s v="Art Sets"/>
    <s v="CRAYOLA LLC"/>
    <s v="57000"/>
    <x v="0"/>
    <x v="0"/>
    <s v="Pending CQ Ops"/>
    <x v="1"/>
    <n v="1"/>
  </r>
  <r>
    <m/>
    <s v="CV_1P_Art_Supplies_2022_01_13_11919"/>
    <s v="Art Supplies"/>
    <s v="Art Sets"/>
    <s v="HORIZON GROUP USA INC"/>
    <s v="11919"/>
    <x v="0"/>
    <x v="0"/>
    <s v="Pending CQ Ops"/>
    <x v="1"/>
    <n v="1"/>
  </r>
  <r>
    <m/>
    <s v="CV_1P_Art_Supplies_2022_01_17_753913"/>
    <s v="Art Supplies"/>
    <s v="Art &amp; Craft Kits"/>
    <s v="Vista Partners, Inc. dba Petersen-Arne"/>
    <s v="753913"/>
    <x v="0"/>
    <x v="0"/>
    <s v="Pending CQ Ops"/>
    <x v="1"/>
    <n v="1"/>
  </r>
  <r>
    <m/>
    <s v="CV_1P_Art_Supplies_2022_01_18_48785"/>
    <s v="Art Supplies"/>
    <s v="Art &amp; Craft Kits"/>
    <s v="NOTIONS MARKETING CORPORATION"/>
    <s v="48785"/>
    <x v="0"/>
    <x v="0"/>
    <s v="Pending CQ Ops"/>
    <x v="1"/>
    <n v="2"/>
  </r>
  <r>
    <m/>
    <s v="CV_1P_Art_Supplies_2022_01_18_48785"/>
    <s v="Art Supplies"/>
    <s v="Art Sets"/>
    <s v="NOTIONS MARKETING CORPORATION"/>
    <s v="48785"/>
    <x v="0"/>
    <x v="0"/>
    <s v="Pending CQ Ops"/>
    <x v="1"/>
    <n v="1"/>
  </r>
  <r>
    <m/>
    <s v="CV_1P_Art_Supplies_2022_01_18_553755"/>
    <s v="Art Supplies"/>
    <s v="Art &amp; Craft Kits"/>
    <s v="HORIZON GROUP USA INC"/>
    <s v="553755"/>
    <x v="0"/>
    <x v="0"/>
    <s v="Pending CQ Ops"/>
    <x v="1"/>
    <n v="1"/>
  </r>
  <r>
    <m/>
    <s v="CV_1P_Art_Supplies_2022_01_18_611221"/>
    <s v="Art Supplies"/>
    <s v="Art Easels"/>
    <s v="STUDIO DESIGNS INC"/>
    <s v="611221"/>
    <x v="0"/>
    <x v="0"/>
    <s v="Pending CQ Ops"/>
    <x v="1"/>
    <n v="1"/>
  </r>
  <r>
    <m/>
    <s v="CV_1P_Art_Supplies_2022_01_18_753913"/>
    <s v="Art Supplies"/>
    <s v="Art &amp; Craft Kits"/>
    <s v="Vista Partners, Inc. dba Petersen-Arne"/>
    <s v="753913"/>
    <x v="0"/>
    <x v="0"/>
    <s v="Pending CQ Ops"/>
    <x v="1"/>
    <n v="2"/>
  </r>
  <r>
    <m/>
    <s v="CV_1P_Art_Supplies_2022_01_18_902189"/>
    <s v="Art Supplies"/>
    <s v="Art Easels"/>
    <s v="VTECH ELECTRONICS NA LLC"/>
    <s v="902189"/>
    <x v="0"/>
    <x v="0"/>
    <s v="Pending CQ Ops"/>
    <x v="1"/>
    <n v="1"/>
  </r>
  <r>
    <m/>
    <s v="CV_1P_Fabric_Craft_2021_11_23_459302"/>
    <s v="Fabric Craft"/>
    <s v="Fabric Dyes"/>
    <s v="DUNCAN ENTERPRISES"/>
    <s v="459302"/>
    <x v="0"/>
    <x v="1"/>
    <s v="Revalidation Production Pending"/>
    <x v="1"/>
    <n v="1"/>
  </r>
  <r>
    <m/>
    <s v="CV_1P_Fabrics,_Yarn,_&amp;_Thread_2021_10_14_360297"/>
    <s v="Fabrics, Yarn, &amp; Thread"/>
    <s v="Sewing &amp; Craft Fabric"/>
    <s v="DAVID TEXTILES INC"/>
    <s v="360297"/>
    <x v="0"/>
    <x v="0"/>
    <s v="Pending CQ Ops"/>
    <x v="1"/>
    <n v="1"/>
  </r>
  <r>
    <m/>
    <s v="CV_1P_Fabrics,_Yarn,_&amp;_Thread_2022_01_18_48785"/>
    <s v="Fabrics, Yarn, &amp; Thread"/>
    <s v="Yarn"/>
    <s v="NOTIONS MARKETING CORPORATION"/>
    <s v="48785"/>
    <x v="0"/>
    <x v="0"/>
    <s v="Pending CQ Ops"/>
    <x v="1"/>
    <n v="1"/>
  </r>
  <r>
    <m/>
    <s v="CV_1P_Sewing,_Knitting,_&amp;_Weaving_Kits_2021_11_16_95052"/>
    <s v="Sewing, Knitting, &amp; Weaving Kits"/>
    <s v="Knitting Kits"/>
    <s v="FLAT RIVER GROUP LLC"/>
    <s v="95052"/>
    <x v="0"/>
    <x v="1"/>
    <s v="Revalidation Production Pending"/>
    <x v="1"/>
    <n v="1"/>
  </r>
  <r>
    <m/>
    <s v="CV_1P_Weaving_Accessories_2021_11_17_95052"/>
    <s v="Weaving Accessories"/>
    <s v="Weaving Looms"/>
    <s v="FLAT RIVER GROUP LLC"/>
    <s v="95052"/>
    <x v="0"/>
    <x v="0"/>
    <s v="Pending CQ Ops"/>
    <x v="1"/>
    <n v="1"/>
  </r>
  <r>
    <m/>
    <s v="CV_3P_Art_&amp;_Craft_2021_11_17_E52A100D365849B495438700E68AF05F"/>
    <s v="Supplies"/>
    <s v="Unfinished Wood"/>
    <s v="-"/>
    <s v="E52A100D365849B495438700E68AF05F"/>
    <x v="1"/>
    <x v="1"/>
    <s v="Revalidation Production Pending"/>
    <x v="0"/>
    <n v="1"/>
  </r>
  <r>
    <m/>
    <s v="CV_3P_Art_&amp;_Craft_2021_12_10_E6A4A37B35DF4F238585BFD03616CFA8"/>
    <s v="Supplies"/>
    <s v="Craft Vinyl"/>
    <s v="Heatpress District Inc"/>
    <s v="E6A4A37B35DF4F238585BFD03616CFA8"/>
    <x v="1"/>
    <x v="1"/>
    <s v="Revalidation Production Pending"/>
    <x v="0"/>
    <n v="1"/>
  </r>
  <r>
    <m/>
    <s v="CV_3P_Art_&amp;_Craft_2022_01_12_44365C4720DF4EA68E46CC67A572FE5F"/>
    <s v="Paper Craft"/>
    <s v="Stickers"/>
    <s v="DREAMY HOME INC"/>
    <s v="44365C4720DF4EA68E46CC67A572FE5F"/>
    <x v="1"/>
    <x v="0"/>
    <s v="Pending CQ Ops"/>
    <x v="0"/>
    <n v="1"/>
  </r>
  <r>
    <m/>
    <s v="CV_3P_Art_Supplies_2021_10_15_462C67C7FEC84B548E65F059D40FB4CF"/>
    <s v="Art Supplies"/>
    <s v="Crayons"/>
    <s v="tradeCOzone"/>
    <s v="462C67C7FEC84B548E65F059D40FB4CF"/>
    <x v="1"/>
    <x v="0"/>
    <s v="Pending CQ Ops"/>
    <x v="1"/>
    <n v="1"/>
  </r>
  <r>
    <m/>
    <s v="CV_3P_Art_Supplies_2021_10_15_D008375F04EB41339F5D049D12921433"/>
    <s v="Art Supplies"/>
    <s v="Art Brushes"/>
    <s v="Gallop Fulfillment Inc"/>
    <s v="D008375F04EB41339F5D049D12921433"/>
    <x v="1"/>
    <x v="0"/>
    <s v="Pending CQ Ops"/>
    <x v="1"/>
    <n v="1"/>
  </r>
  <r>
    <m/>
    <s v="CV_3P_Art_Supplies_2021_10_15_D819F71C665E4EA29A0C17C72942D10C"/>
    <s v="Art Supplies"/>
    <s v="Art &amp; Craft Kits"/>
    <s v="Guangzhou Baiyun District Baojie Trading Co., Ltd."/>
    <s v="D819F71C665E4EA29A0C17C72942D10C"/>
    <x v="1"/>
    <x v="0"/>
    <s v="Pending CQ Ops"/>
    <x v="1"/>
    <n v="1"/>
  </r>
  <r>
    <m/>
    <s v="CV_3P_Art_Supplies_2021_10_15_ED055A42693F4F48B24B180D5B052BC0"/>
    <s v="Art Supplies"/>
    <s v="Art Brushes"/>
    <s v="TCP Global Corp"/>
    <s v="ED055A42693F4F48B24B180D5B052BC0"/>
    <x v="1"/>
    <x v="0"/>
    <s v="Pending CQ Ops"/>
    <x v="1"/>
    <n v="2"/>
  </r>
  <r>
    <m/>
    <s v="CV_3P_Art_Supplies_2021_10_15_ED055A42693F4F48B24B180D5B052BC0"/>
    <s v="Art Supplies"/>
    <s v="Art Easels"/>
    <s v="TCP Global Corp"/>
    <s v="ED055A42693F4F48B24B180D5B052BC0"/>
    <x v="1"/>
    <x v="0"/>
    <s v="Pending CQ Ops"/>
    <x v="1"/>
    <n v="1"/>
  </r>
  <r>
    <m/>
    <s v="CV_3P_Art_Supplies_2021_10_15_ED055A42693F4F48B24B180D5B052BC0"/>
    <s v="Art Supplies"/>
    <s v="Art Paints &amp; Pigment Powders"/>
    <s v="TCP Global Corp"/>
    <s v="ED055A42693F4F48B24B180D5B052BC0"/>
    <x v="1"/>
    <x v="0"/>
    <s v="Pending CQ Ops"/>
    <x v="1"/>
    <n v="4"/>
  </r>
  <r>
    <m/>
    <s v="CV_3P_Art_Supplies_2021_11_15_E52A100D365849B495438700E68AF05F"/>
    <s v="Art Supplies"/>
    <s v="Art &amp; Craft Kits"/>
    <s v="-"/>
    <s v="E52A100D365849B495438700E68AF05F"/>
    <x v="1"/>
    <x v="0"/>
    <s v="Pending CQ Ops"/>
    <x v="1"/>
    <n v="1"/>
  </r>
  <r>
    <m/>
    <s v="CV_3P_Art_Supplies_2021_11_16_E52A100D365849B495438700E68AF05F"/>
    <s v="Art Supplies"/>
    <s v="Art Paints &amp; Pigment Powders"/>
    <s v="-"/>
    <s v="E52A100D365849B495438700E68AF05F"/>
    <x v="1"/>
    <x v="0"/>
    <s v="Pending CQ Ops"/>
    <x v="1"/>
    <n v="1"/>
  </r>
  <r>
    <m/>
    <s v="CV_3P_Art_Supplies_2021_11_16_ED055A42693F4F48B24B180D5B052BC0"/>
    <s v="Art Supplies"/>
    <s v="Art Paints &amp; Pigment Powders"/>
    <s v="TCP Global Corp"/>
    <s v="ED055A42693F4F48B24B180D5B052BC0"/>
    <x v="1"/>
    <x v="0"/>
    <s v="Pending CQ Ops"/>
    <x v="1"/>
    <n v="1"/>
  </r>
  <r>
    <m/>
    <s v="CV_3P_Art_Supplies_2021_11_17_ED055A42693F4F48B24B180D5B052BC0"/>
    <s v="Art Supplies"/>
    <s v="Art Boards &amp; Canvas"/>
    <s v="TCP Global Corp"/>
    <s v="ED055A42693F4F48B24B180D5B052BC0"/>
    <x v="1"/>
    <x v="0"/>
    <s v="Pending CQ Ops"/>
    <x v="1"/>
    <n v="1"/>
  </r>
  <r>
    <m/>
    <s v="CV_3P_Art_Supplies_2021_11_17_ED055A42693F4F48B24B180D5B052BC0"/>
    <s v="Art Supplies"/>
    <s v="Art Easels"/>
    <s v="TCP Global Corp"/>
    <s v="ED055A42693F4F48B24B180D5B052BC0"/>
    <x v="1"/>
    <x v="0"/>
    <s v="Pending CQ Ops"/>
    <x v="1"/>
    <n v="3"/>
  </r>
  <r>
    <m/>
    <s v="CV_3P_Art_Supplies_2021_11_17_ED055A42693F4F48B24B180D5B052BC0"/>
    <s v="Art Supplies"/>
    <s v="Art Paints &amp; Pigment Powders"/>
    <s v="TCP Global Corp"/>
    <s v="ED055A42693F4F48B24B180D5B052BC0"/>
    <x v="1"/>
    <x v="0"/>
    <s v="Pending CQ Ops"/>
    <x v="1"/>
    <n v="3"/>
  </r>
  <r>
    <m/>
    <s v="CV_3P_Art_Supplies_2021_11_17_ED055A42693F4F48B24B180D5B052BC0"/>
    <s v="Art Supplies"/>
    <s v="Art Pencils"/>
    <s v="TCP Global Corp"/>
    <s v="ED055A42693F4F48B24B180D5B052BC0"/>
    <x v="1"/>
    <x v="0"/>
    <s v="Pending CQ Ops"/>
    <x v="1"/>
    <n v="1"/>
  </r>
  <r>
    <m/>
    <s v="CV_3P_Art_Supplies_2021_11_19_3438F44AFE51497DBB11E29A79A9BA81"/>
    <s v="Art Supplies"/>
    <s v="Art &amp; Craft Kits"/>
    <s v="CREATIVE KIDS ONLINE LLC"/>
    <s v="3438F44AFE51497DBB11E29A79A9BA81"/>
    <x v="1"/>
    <x v="0"/>
    <s v="Pending CQ Ops"/>
    <x v="1"/>
    <n v="1"/>
  </r>
  <r>
    <m/>
    <s v="CV_3P_Art_Supplies_2021_11_19_99B62ECFA1DD49DFA0BFCAB42E713F06"/>
    <s v="Art Supplies"/>
    <s v="Art Easels"/>
    <s v="Come In and Be Tempted... Ltd"/>
    <s v="99B62ECFA1DD49DFA0BFCAB42E713F06"/>
    <x v="1"/>
    <x v="0"/>
    <s v="Pending CQ Ops"/>
    <x v="1"/>
    <n v="1"/>
  </r>
  <r>
    <m/>
    <s v="CV_3P_Art_Supplies_2021_11_19_D7E563FC3CA44F9BB730DD851D336D2A"/>
    <s v="Art Supplies"/>
    <s v="Art Easels"/>
    <s v="Shenzhenshi Dayitong Keji Youxian Gongsi"/>
    <s v="D7E563FC3CA44F9BB730DD851D336D2A"/>
    <x v="1"/>
    <x v="0"/>
    <s v="Pending CQ Ops"/>
    <x v="1"/>
    <n v="1"/>
  </r>
  <r>
    <m/>
    <s v="CV_3P_Art_Supplies_2021_11_19_E52A100D365849B495438700E68AF05F"/>
    <s v="Art Supplies"/>
    <s v="Art &amp; Craft Kits"/>
    <s v="-"/>
    <s v="E52A100D365849B495438700E68AF05F"/>
    <x v="1"/>
    <x v="0"/>
    <s v="Pending CQ Ops"/>
    <x v="1"/>
    <n v="1"/>
  </r>
  <r>
    <m/>
    <s v="CV_3P_Art_Supplies_2021_11_19_E52A100D365849B495438700E68AF05F"/>
    <s v="Art Supplies"/>
    <s v="Art Easels"/>
    <s v="-"/>
    <s v="E52A100D365849B495438700E68AF05F"/>
    <x v="1"/>
    <x v="0"/>
    <s v="Pending CQ Ops"/>
    <x v="1"/>
    <n v="1"/>
  </r>
  <r>
    <m/>
    <s v="CV_3P_Art_Supplies_2021_11_22_D008375F04EB41339F5D049D12921433"/>
    <s v="Art Supplies"/>
    <s v="Art Brushes"/>
    <s v="Gallop Fulfillment Inc"/>
    <s v="D008375F04EB41339F5D049D12921433"/>
    <x v="1"/>
    <x v="0"/>
    <s v="Pending CQ Ops"/>
    <x v="1"/>
    <n v="1"/>
  </r>
  <r>
    <m/>
    <s v="CV_3P_Art_Supplies_2021_12_10_3438F44AFE51497DBB11E29A79A9BA81"/>
    <s v="Art Supplies"/>
    <s v="Art &amp; Craft Kits"/>
    <s v="CREATIVE KIDS ONLINE LLC"/>
    <s v="3438F44AFE51497DBB11E29A79A9BA81"/>
    <x v="1"/>
    <x v="0"/>
    <s v="Pending CQ Ops"/>
    <x v="1"/>
    <n v="2"/>
  </r>
  <r>
    <m/>
    <s v="CV_3P_Art_Supplies_2021_12_13_3438F44AFE51497DBB11E29A79A9BA81"/>
    <s v="Art Supplies"/>
    <s v="Art &amp; Craft Kits"/>
    <s v="CREATIVE KIDS ONLINE LLC"/>
    <s v="3438F44AFE51497DBB11E29A79A9BA81"/>
    <x v="1"/>
    <x v="0"/>
    <s v="Pending CQ Ops"/>
    <x v="1"/>
    <n v="1"/>
  </r>
  <r>
    <m/>
    <s v="CV_3P_Art_Supplies_2021_12_14_E52A100D365849B495438700E68AF05F"/>
    <s v="Art Supplies"/>
    <s v="Art Easels"/>
    <s v="-"/>
    <s v="E52A100D365849B495438700E68AF05F"/>
    <x v="1"/>
    <x v="0"/>
    <s v="Pending CQ Ops"/>
    <x v="1"/>
    <n v="1"/>
  </r>
  <r>
    <m/>
    <s v="CV_3P_Art_Supplies_2021_12_14_F27CA33C945E4A2CB3C60A9CBA37F1D9"/>
    <s v="Art Supplies"/>
    <s v="Art Pencils"/>
    <s v="Scepter Marketing, LLC"/>
    <s v="F27CA33C945E4A2CB3C60A9CBA37F1D9"/>
    <x v="1"/>
    <x v="0"/>
    <s v="Pending CQ Ops"/>
    <x v="1"/>
    <n v="1"/>
  </r>
  <r>
    <m/>
    <s v="CV_3P_Art_Supplies_2022_01_12_0137E0EE97394F31AA9171555A2C3EF6"/>
    <s v="Art Supplies"/>
    <s v="Art Sets"/>
    <s v="Audioec Inc."/>
    <s v="0137E0EE97394F31AA9171555A2C3EF6"/>
    <x v="1"/>
    <x v="0"/>
    <s v="Pending CQ Ops"/>
    <x v="1"/>
    <n v="1"/>
  </r>
  <r>
    <m/>
    <s v="CV_3P_Art_Supplies_2022_01_12_39D874F16BA14D9583DDA05B58B94EF7"/>
    <s v="Art Supplies"/>
    <s v="Art &amp; Craft Kits"/>
    <s v="Merchant Market Inc"/>
    <s v="39D874F16BA14D9583DDA05B58B94EF7"/>
    <x v="1"/>
    <x v="0"/>
    <s v="Pending CQ Ops"/>
    <x v="1"/>
    <n v="1"/>
  </r>
  <r>
    <m/>
    <s v="CV_3P_Art_Supplies_2022_01_12_4C2D03A83FC94D4D8E090C24C737B878"/>
    <s v="Art Supplies"/>
    <s v="Art Sets"/>
    <s v="Siraa Solutions LLC"/>
    <s v="4C2D03A83FC94D4D8E090C24C737B878"/>
    <x v="1"/>
    <x v="0"/>
    <s v="Pending CQ Ops"/>
    <x v="1"/>
    <n v="1"/>
  </r>
  <r>
    <m/>
    <s v="CV_3P_Art_Supplies_2022_01_12_5914CAAD6B59433292E798F777BACE1A"/>
    <s v="Art Supplies"/>
    <s v="Art &amp; Craft Kits"/>
    <s v="B&amp;J Associates Inc."/>
    <s v="5914CAAD6B59433292E798F777BACE1A"/>
    <x v="1"/>
    <x v="0"/>
    <s v="Pending CQ Ops"/>
    <x v="1"/>
    <n v="1"/>
  </r>
  <r>
    <m/>
    <s v="CV_3P_Art_Supplies_2022_01_12_5B047CD5F01542CAA1A6BF02CF34EF7B"/>
    <s v="Art Supplies"/>
    <s v="Art Easels"/>
    <s v="Topbuy.INC"/>
    <s v="5B047CD5F01542CAA1A6BF02CF34EF7B"/>
    <x v="1"/>
    <x v="0"/>
    <s v="Pending CQ Ops"/>
    <x v="1"/>
    <n v="1"/>
  </r>
  <r>
    <m/>
    <s v="CV_3P_Art_Supplies_2022_01_12_5B6BC99A00B24DB78C49C87CA4DAF71B"/>
    <s v="Art Supplies"/>
    <s v="Art &amp; Craft Kits"/>
    <s v="DSCovery LLC"/>
    <s v="5B6BC99A00B24DB78C49C87CA4DAF71B"/>
    <x v="1"/>
    <x v="0"/>
    <s v="Pending CQ Ops"/>
    <x v="1"/>
    <n v="1"/>
  </r>
  <r>
    <m/>
    <s v="CV_3P_Art_Supplies_2022_01_12_5DAB6D919B1A402B80C1AE0B8E3003BD"/>
    <s v="Art Supplies"/>
    <s v="Art Sets"/>
    <s v="Natures Touch Marketing Inc"/>
    <s v="5DAB6D919B1A402B80C1AE0B8E3003BD"/>
    <x v="1"/>
    <x v="0"/>
    <s v="Pending CQ Ops"/>
    <x v="1"/>
    <n v="1"/>
  </r>
  <r>
    <m/>
    <s v="CV_3P_Art_Supplies_2022_01_12_8287492C05D14013812C7502B655B66A"/>
    <s v="Art Supplies"/>
    <s v="Glitter"/>
    <s v="-"/>
    <s v="8287492C05D14013812C7502B655B66A"/>
    <x v="1"/>
    <x v="0"/>
    <s v="Pending CQ Ops"/>
    <x v="1"/>
    <n v="2"/>
  </r>
  <r>
    <m/>
    <s v="CV_3P_Art_Supplies_2022_01_12_8AB6AB3ECDDA48FDBAF9FF734FBC517D"/>
    <s v="Art Supplies"/>
    <s v="Art Pencils"/>
    <s v="Shenzhen Monikate Trading Co., Ltd."/>
    <s v="8AB6AB3ECDDA48FDBAF9FF734FBC517D"/>
    <x v="1"/>
    <x v="0"/>
    <s v="Pending CQ Ops"/>
    <x v="1"/>
    <n v="1"/>
  </r>
  <r>
    <m/>
    <s v="CV_3P_Art_Supplies_2022_01_12_995C38FA741F44F39C2816D686B24038"/>
    <s v="Art Supplies"/>
    <s v="Art Sets"/>
    <s v="Palindrome LLC"/>
    <s v="995C38FA741F44F39C2816D686B24038"/>
    <x v="1"/>
    <x v="0"/>
    <s v="Pending CQ Ops"/>
    <x v="1"/>
    <n v="1"/>
  </r>
  <r>
    <m/>
    <s v="CV_3P_Art_Supplies_2022_01_12_A16F541C0C9D4069B98681271C03CBD6"/>
    <s v="Art Supplies"/>
    <s v="Art Sets"/>
    <s v="TONGLU ZHENGHUA STATIONERY CO LTD"/>
    <s v="A16F541C0C9D4069B98681271C03CBD6"/>
    <x v="1"/>
    <x v="0"/>
    <s v="Pending CQ Ops"/>
    <x v="1"/>
    <n v="1"/>
  </r>
  <r>
    <m/>
    <s v="CV_3P_Art_Supplies_2022_01_12_A185E2BC1F464898A538E6AC4449CBC3"/>
    <s v="Art Supplies"/>
    <s v="Art Pencils"/>
    <s v="Arteza LLC"/>
    <s v="A185E2BC1F464898A538E6AC4449CBC3"/>
    <x v="1"/>
    <x v="0"/>
    <s v="Pending CQ Ops"/>
    <x v="1"/>
    <n v="1"/>
  </r>
  <r>
    <m/>
    <s v="CV_3P_Art_Supplies_2022_01_12_AF9BFF4E267442C4BC7DAB18C81B0302"/>
    <s v="Art Supplies"/>
    <s v="Art Sets"/>
    <s v="RED ROSE TECHNOLOGIES"/>
    <s v="AF9BFF4E267442C4BC7DAB18C81B0302"/>
    <x v="1"/>
    <x v="0"/>
    <s v="Pending CQ Ops"/>
    <x v="1"/>
    <n v="1"/>
  </r>
  <r>
    <m/>
    <s v="CV_3P_Art_Supplies_2022_01_12_ED055A42693F4F48B24B180D5B052BC0"/>
    <s v="Art Supplies"/>
    <s v="Art Easels"/>
    <s v="TCP Global Corp"/>
    <s v="ED055A42693F4F48B24B180D5B052BC0"/>
    <x v="1"/>
    <x v="0"/>
    <s v="Pending CQ Ops"/>
    <x v="1"/>
    <n v="1"/>
  </r>
  <r>
    <m/>
    <s v="CV_3P_Art_Supplies_2022_01_12_F6EA0C2FAFB44B63A437E8AE08C4E063"/>
    <s v="Art Supplies"/>
    <s v="Art &amp; Craft Kits"/>
    <s v="Sanders Collection Inc"/>
    <s v="F6EA0C2FAFB44B63A437E8AE08C4E063"/>
    <x v="1"/>
    <x v="0"/>
    <s v="Pending CQ Ops"/>
    <x v="1"/>
    <n v="1"/>
  </r>
  <r>
    <m/>
    <s v="CV_3P_Fabrics,_Yarn,_&amp;_Thread_2021_10_15_0CD65FB509844C0384F4B5565C7163D2"/>
    <s v="Fabrics, Yarn, &amp; Thread"/>
    <s v="Sewing &amp; Craft Fabric"/>
    <s v="Vogue Group Inc"/>
    <s v="0CD65FB509844C0384F4B5565C7163D2"/>
    <x v="1"/>
    <x v="0"/>
    <s v="Pending CQ Ops"/>
    <x v="1"/>
    <n v="5"/>
  </r>
  <r>
    <m/>
    <s v="CV_3P_Fabrics,_Yarn,_&amp;_Thread_2021_11_18_0CD65FB509844C0384F4B5565C7163D2"/>
    <s v="Fabrics, Yarn, &amp; Thread"/>
    <s v="Sewing &amp; Craft Fabric"/>
    <s v="Vogue Group Inc"/>
    <s v="0CD65FB509844C0384F4B5565C7163D2"/>
    <x v="1"/>
    <x v="0"/>
    <s v="Pending CQ Ops"/>
    <x v="1"/>
    <n v="2"/>
  </r>
  <r>
    <m/>
    <s v="CV_3P_Fabrics,_Yarn,_&amp;_Thread_2021_11_22_0CD65FB509844C0384F4B5565C7163D2"/>
    <s v="Fabrics, Yarn, &amp; Thread"/>
    <s v="Sewing &amp; Craft Fabric"/>
    <s v="Vogue Group Inc"/>
    <s v="0CD65FB509844C0384F4B5565C7163D2"/>
    <x v="1"/>
    <x v="0"/>
    <s v="Pending CQ Ops"/>
    <x v="1"/>
    <n v="1"/>
  </r>
  <r>
    <m/>
    <s v="CV_3P_Fabrics,_Yarn,_&amp;_Thread_2022_01_12_E52A100D365849B495438700E68AF05F"/>
    <s v="Fabrics, Yarn, &amp; Thread"/>
    <s v="Sewing Patches &amp; Appliques"/>
    <s v="-"/>
    <s v="E52A100D365849B495438700E68AF05F"/>
    <x v="1"/>
    <x v="0"/>
    <s v="Pending CQ Ops"/>
    <x v="1"/>
    <n v="1"/>
  </r>
  <r>
    <m/>
    <s v="CV_3P_Sewing_Accessories_2021_11_17_A5B1A239A4344F9F8002D343D9F06301"/>
    <s v="Sewing Accessories"/>
    <s v="Sewing Fasteners"/>
    <s v="-"/>
    <s v="A5B1A239A4344F9F8002D343D9F06301"/>
    <x v="1"/>
    <x v="0"/>
    <s v="Pending CQ Ops"/>
    <x v="1"/>
    <n v="1"/>
  </r>
  <r>
    <m/>
    <s v="ECS_3P_Art_&amp;_Craft_2021_09_24_10000001549"/>
    <s v="Tangible Art"/>
    <s v="Beading Needles"/>
    <s v="TNT Deals, Inc"/>
    <s v="10000001549"/>
    <x v="2"/>
    <x v="1"/>
    <s v="Revalidation Production Pending"/>
    <x v="0"/>
    <n v="1"/>
  </r>
  <r>
    <m/>
    <s v="ECS_3P_Art_&amp;_Craft_2021_09_24_10000001549"/>
    <s v="Paper Craft"/>
    <s v="Construction Paper"/>
    <s v="TNT Deals, Inc"/>
    <s v="10000001549"/>
    <x v="2"/>
    <x v="1"/>
    <s v="Revalidation Production Pending"/>
    <x v="0"/>
    <n v="1"/>
  </r>
  <r>
    <m/>
    <s v="ECS_3P_Art_&amp;_Craft_2021_09_24_10000001549"/>
    <s v="Paper Craft"/>
    <s v="Stamps &amp; Stamp Sets"/>
    <s v="TNT Deals, Inc"/>
    <s v="10000001549"/>
    <x v="2"/>
    <x v="1"/>
    <s v="Revalidation Production Pending"/>
    <x v="0"/>
    <n v="1"/>
  </r>
  <r>
    <m/>
    <s v="ECS_3P_Art_&amp;_Craft_2021_09_24_10000001836"/>
    <s v="Supplies"/>
    <s v="Art &amp; Craft Tape"/>
    <s v="Axon US Corp"/>
    <s v="10000001836"/>
    <x v="2"/>
    <x v="1"/>
    <s v="Revalidation Production Pending"/>
    <x v="0"/>
    <n v="1"/>
  </r>
  <r>
    <m/>
    <s v="ECS_3P_Weaving_Accessories_2021_09_24_10000001246"/>
    <s v="Weaving Accessories"/>
    <s v="Weaving Warping Tools"/>
    <s v="Beadaholique.com"/>
    <s v="10000001246"/>
    <x v="2"/>
    <x v="1"/>
    <s v="Revalidation Production Pending"/>
    <x v="1"/>
    <n v="1"/>
  </r>
  <r>
    <m/>
    <s v="EHPV_3P_Art_&amp;_Craft_2021_08_19_10000001424"/>
    <s v="Supplies"/>
    <s v="Craft Vinyl"/>
    <s v="huoilum corp"/>
    <s v="10000001424"/>
    <x v="3"/>
    <x v="1"/>
    <s v="Revalidation Production Pending"/>
    <x v="0"/>
    <n v="1"/>
  </r>
  <r>
    <m/>
    <s v="EHPV_3P_Art_&amp;_Craft_2021_08_25_10000000517"/>
    <s v="Supplies"/>
    <s v="Unfinished Wood"/>
    <s v="Vir Ventures Inc."/>
    <s v="10000000517"/>
    <x v="3"/>
    <x v="1"/>
    <s v="Revalidation Production Pending"/>
    <x v="0"/>
    <n v="1"/>
  </r>
  <r>
    <m/>
    <s v="EHPV_3P_Art_&amp;_Craft_2021_08_25_10000001200"/>
    <s v="Paper Craft"/>
    <s v="Photo Albums"/>
    <s v="Quality Photo"/>
    <s v="10000001200"/>
    <x v="3"/>
    <x v="1"/>
    <s v="Revalidation Production Pending"/>
    <x v="0"/>
    <n v="1"/>
  </r>
  <r>
    <m/>
    <s v="EHPV_3P_Art_&amp;_Craft_2021_08_25_10000001246"/>
    <s v="Tangible Art"/>
    <s v="Beading Needles"/>
    <s v="Beadaholique.com"/>
    <s v="10000001246"/>
    <x v="3"/>
    <x v="1"/>
    <s v="Revalidation Production Pending"/>
    <x v="0"/>
    <n v="2"/>
  </r>
  <r>
    <m/>
    <s v="EHPV_3P_Art_&amp;_Craft_2021_08_25_10000001246"/>
    <s v="Supplies"/>
    <s v="Craft Sticks"/>
    <s v="Beadaholique.com"/>
    <s v="10000001246"/>
    <x v="3"/>
    <x v="1"/>
    <s v="Revalidation Production Pending"/>
    <x v="0"/>
    <n v="1"/>
  </r>
  <r>
    <m/>
    <s v="EHPV_3P_Art_&amp;_Craft_2021_08_25_10000001246"/>
    <s v="Tangible Art"/>
    <s v="Earring Components"/>
    <s v="Beadaholique.com"/>
    <s v="10000001246"/>
    <x v="3"/>
    <x v="1"/>
    <s v="Revalidation Production Pending"/>
    <x v="0"/>
    <n v="6"/>
  </r>
  <r>
    <m/>
    <s v="EHPV_3P_Art_&amp;_Craft_2021_08_25_10000001246"/>
    <s v="Tangible Art"/>
    <s v="Jewelry Head &amp; Eye Pins"/>
    <s v="Beadaholique.com"/>
    <s v="10000001246"/>
    <x v="3"/>
    <x v="1"/>
    <s v="Revalidation Production Pending"/>
    <x v="0"/>
    <n v="3"/>
  </r>
  <r>
    <m/>
    <s v="EHPV_3P_Art_&amp;_Craft_2021_08_25_10000001246"/>
    <s v="Tangible Art"/>
    <s v="Jewelry Jump Rings &amp; Split Rings"/>
    <s v="Beadaholique.com"/>
    <s v="10000001246"/>
    <x v="3"/>
    <x v="1"/>
    <s v="Revalidation Production Pending"/>
    <x v="0"/>
    <n v="5"/>
  </r>
  <r>
    <m/>
    <s v="EHPV_3P_Art_&amp;_Craft_2021_08_25_10000001246"/>
    <s v="Tangible Art"/>
    <s v="Jewelry Making Embellishments"/>
    <s v="Beadaholique.com"/>
    <s v="10000001246"/>
    <x v="3"/>
    <x v="1"/>
    <s v="Revalidation Production Pending"/>
    <x v="0"/>
    <n v="1"/>
  </r>
  <r>
    <m/>
    <s v="EHPV_3P_Art_&amp;_Craft_2021_08_25_10000001246"/>
    <s v="Tangible Art"/>
    <s v="Jewelry Pin Backs"/>
    <s v="Beadaholique.com"/>
    <s v="10000001246"/>
    <x v="3"/>
    <x v="1"/>
    <s v="Revalidation Production Pending"/>
    <x v="0"/>
    <n v="1"/>
  </r>
  <r>
    <m/>
    <s v="EHPV_3P_Art_&amp;_Craft_2021_08_25_10000001836"/>
    <s v="Supplies"/>
    <s v="Art &amp; Craft Tape"/>
    <s v="Axon US Corp"/>
    <s v="10000001836"/>
    <x v="3"/>
    <x v="1"/>
    <s v="Revalidation Production Pending"/>
    <x v="0"/>
    <n v="1"/>
  </r>
  <r>
    <m/>
    <s v="EHPV_3P_Art_&amp;_Craft_2021_08_25_10000001836"/>
    <s v="Paper Craft"/>
    <s v="Transfer Paper"/>
    <s v="Axon US Corp"/>
    <s v="10000001836"/>
    <x v="3"/>
    <x v="1"/>
    <s v="Revalidation Production Pending"/>
    <x v="0"/>
    <n v="2"/>
  </r>
  <r>
    <m/>
    <s v="EHPV_3P_Art_&amp;_Craft_2021_08_25_10000001836"/>
    <s v="Supplies"/>
    <s v="Unfinished Wood"/>
    <s v="Axon US Corp"/>
    <s v="10000001836"/>
    <x v="3"/>
    <x v="1"/>
    <s v="Revalidation Production Pending"/>
    <x v="0"/>
    <n v="1"/>
  </r>
  <r>
    <m/>
    <s v="EHPV_3P_Art_&amp;_Craft_2021_08_25_10000012310"/>
    <s v="Supplies"/>
    <s v="Craft Eyes"/>
    <s v="PFACC LLC."/>
    <s v="10000012310"/>
    <x v="3"/>
    <x v="1"/>
    <s v="Revalidation Production Pending"/>
    <x v="0"/>
    <n v="1"/>
  </r>
  <r>
    <m/>
    <s v="EHPV_3P_Art_Supplies_2021_08_25_10000001246"/>
    <s v="Art Supplies"/>
    <s v="Art Stencils &amp; Templates"/>
    <s v="Beadaholique.com"/>
    <s v="10000001246"/>
    <x v="3"/>
    <x v="0"/>
    <s v="Pending CQ Ops"/>
    <x v="1"/>
    <n v="1"/>
  </r>
  <r>
    <m/>
    <s v="Existing_1P_Art_Supplies_2021_08_20_424556"/>
    <s v="Art Supplies"/>
    <s v="Art &amp; Craft Kits"/>
    <s v="MELISSA &amp; DOUG LLC"/>
    <s v="424556"/>
    <x v="4"/>
    <x v="0"/>
    <s v="Pending CQ Ops"/>
    <x v="1"/>
    <n v="1"/>
  </r>
  <r>
    <m/>
    <s v="New_1P_Art_&amp;_Craft_2021_08_24_459302"/>
    <s v="Fabric Craft"/>
    <s v="Fabric Dyes"/>
    <s v="DUNCAN ENTERPRISES"/>
    <s v="459302"/>
    <x v="5"/>
    <x v="1"/>
    <s v="Revalidation Production Pending"/>
    <x v="0"/>
    <n v="2"/>
  </r>
  <r>
    <m/>
    <s v="New_1P_Art_&amp;_Craft_2021_10_17_636222"/>
    <s v="Paper Craft"/>
    <s v="Stickers"/>
    <s v="Trends International, LLC"/>
    <s v="636222"/>
    <x v="5"/>
    <x v="1"/>
    <s v="Revalidation Production Pending"/>
    <x v="0"/>
    <n v="1"/>
  </r>
  <r>
    <m/>
    <s v="New_1P_Art_&amp;_Craft_2021_12_03_636222"/>
    <s v="Paper Craft"/>
    <s v="Stickers"/>
    <s v="Trends International, LLC"/>
    <s v="636222"/>
    <x v="5"/>
    <x v="1"/>
    <s v="Revalidation Production Pending"/>
    <x v="0"/>
    <n v="2"/>
  </r>
  <r>
    <m/>
    <s v="New_1P_Art_&amp;_Craft_2021_12_11_69931"/>
    <s v="Paper Craft"/>
    <s v="Craft &amp; Hobby Storage Bags &amp; Cases"/>
    <s v="ANKYO DEVELOPMENT LIMITED"/>
    <s v="69931"/>
    <x v="5"/>
    <x v="1"/>
    <s v="Revalidation Production Pending"/>
    <x v="0"/>
    <n v="1"/>
  </r>
  <r>
    <m/>
    <s v="New_1P_Art_&amp;_Craft_2021_12_11_753913"/>
    <s v="Supplies"/>
    <s v="Art &amp; Craft Tape"/>
    <s v="Vista Partners, Inc. dba Petersen-Arne"/>
    <s v="753913"/>
    <x v="5"/>
    <x v="0"/>
    <s v="Pending CQ Ops"/>
    <x v="0"/>
    <n v="1"/>
  </r>
  <r>
    <m/>
    <s v="New_1P_Art_&amp;_Craft_2021_12_24_636222"/>
    <s v="Paper Craft"/>
    <s v="Stickers"/>
    <s v="Trends International, LLC"/>
    <s v="636222"/>
    <x v="5"/>
    <x v="0"/>
    <s v="Pending CQ Ops"/>
    <x v="0"/>
    <n v="1"/>
  </r>
  <r>
    <m/>
    <s v="New_1P_Art_&amp;_Craft_2022_01_19_29501"/>
    <s v="Paper Craft"/>
    <s v="Craft &amp; Hobby Storage Bags &amp; Cases"/>
    <s v="STOREX INDUSTRIES CORPORATION"/>
    <s v="29501"/>
    <x v="5"/>
    <x v="0"/>
    <s v="Pending CQ Ops"/>
    <x v="0"/>
    <n v="2"/>
  </r>
  <r>
    <m/>
    <s v="New_1P_Art_&amp;_Craft_2022_01_19_461244"/>
    <s v="Paper Craft"/>
    <s v="Craft &amp; Hobby Storage Bags &amp; Cases"/>
    <s v="PRYM CONSUMER USA INC"/>
    <s v="461244"/>
    <x v="5"/>
    <x v="0"/>
    <s v="Pending CQ Ops"/>
    <x v="0"/>
    <n v="1"/>
  </r>
  <r>
    <m/>
    <s v="New_1P_Art_&amp;_Craft_2022_01_24_38438"/>
    <s v="Paper Craft"/>
    <s v="Stickers"/>
    <s v="Ingram Book Group LLC"/>
    <s v="38438"/>
    <x v="5"/>
    <x v="2"/>
    <s v="Pending QC"/>
    <x v="0"/>
    <n v="1"/>
  </r>
  <r>
    <m/>
    <s v="New_1P_Art_Supplies_2021_09_02_17994"/>
    <s v="Art Supplies"/>
    <s v="Crayons"/>
    <s v="NINGBO QTOP IMPORT AND EXPORT COLTD"/>
    <s v="17994"/>
    <x v="5"/>
    <x v="0"/>
    <s v="Pending CQ Ops"/>
    <x v="1"/>
    <n v="2"/>
  </r>
  <r>
    <m/>
    <s v="New_1P_Art_Supplies_2021_10_06_30492"/>
    <s v="Art Supplies"/>
    <s v="Art Pads &amp; Paper"/>
    <s v="Educators Resource, Inc."/>
    <s v="30492"/>
    <x v="5"/>
    <x v="0"/>
    <s v="Pending CQ Ops"/>
    <x v="1"/>
    <n v="1"/>
  </r>
  <r>
    <m/>
    <s v="New_1P_Art_Supplies_2021_10_20_30492"/>
    <s v="Art Supplies"/>
    <s v="Art &amp; Craft Kits"/>
    <s v="Educators Resource, Inc."/>
    <s v="30492"/>
    <x v="5"/>
    <x v="0"/>
    <s v="Pending CQ Ops"/>
    <x v="1"/>
    <n v="1"/>
  </r>
  <r>
    <m/>
    <s v="New_1P_Art_Supplies_2021_10_21_520205"/>
    <s v="Art Supplies"/>
    <s v="Art &amp; Craft Kits"/>
    <s v="ART 101 USA LTD"/>
    <s v="520205"/>
    <x v="5"/>
    <x v="0"/>
    <s v="Pending CQ Ops"/>
    <x v="1"/>
    <n v="1"/>
  </r>
  <r>
    <m/>
    <s v="New_1P_Art_Supplies_2021_10_27_864515"/>
    <s v="Art Supplies"/>
    <s v="Art &amp; Craft Kits"/>
    <s v="A.W. Faber-Castell USA Inc."/>
    <s v="864515"/>
    <x v="5"/>
    <x v="0"/>
    <s v="Pending CQ Ops"/>
    <x v="1"/>
    <n v="2"/>
  </r>
  <r>
    <m/>
    <s v="New_1P_Art_Supplies_2021_10_31_520205"/>
    <s v="Art Supplies"/>
    <s v="Art Sets"/>
    <s v="ART 101 USA LTD"/>
    <s v="520205"/>
    <x v="5"/>
    <x v="0"/>
    <s v="Pending CQ Ops"/>
    <x v="1"/>
    <n v="1"/>
  </r>
  <r>
    <m/>
    <s v="New_1P_Art_Supplies_2021_11_03_520205"/>
    <s v="Art Supplies"/>
    <s v="Art &amp; Craft Kits"/>
    <s v="ART 101 USA LTD"/>
    <s v="520205"/>
    <x v="5"/>
    <x v="0"/>
    <s v="Pending CQ Ops"/>
    <x v="1"/>
    <n v="1"/>
  </r>
  <r>
    <m/>
    <s v="New_1P_Art_Supplies_2021_11_03_520205"/>
    <s v="Art Supplies"/>
    <s v="Art Sets"/>
    <s v="ART 101 USA LTD"/>
    <s v="520205"/>
    <x v="5"/>
    <x v="0"/>
    <s v="Pending CQ Ops"/>
    <x v="1"/>
    <n v="2"/>
  </r>
  <r>
    <m/>
    <s v="New_1P_Art_Supplies_2021_11_07_424556"/>
    <s v="Art Supplies"/>
    <s v="Art &amp; Craft Kits"/>
    <s v="MELISSA &amp; DOUG LLC"/>
    <s v="424556"/>
    <x v="5"/>
    <x v="0"/>
    <s v="Pending CQ Ops"/>
    <x v="1"/>
    <n v="1"/>
  </r>
  <r>
    <m/>
    <s v="New_1P_Art_Supplies_2021_11_07_424556"/>
    <s v="Art Supplies"/>
    <s v="Art &amp; Craft Kits"/>
    <s v="MELISSA &amp; DOUG LLC"/>
    <s v="424556"/>
    <x v="5"/>
    <x v="0"/>
    <s v="Pending CQ Ops"/>
    <x v="1"/>
    <n v="1"/>
  </r>
  <r>
    <m/>
    <s v="New_1P_Art_Supplies_2022_01_08_285361"/>
    <s v="Art Supplies"/>
    <s v="Art &amp; Craft Kits"/>
    <s v="FABRIC EDITIONS INC"/>
    <s v="285361"/>
    <x v="5"/>
    <x v="0"/>
    <s v="Pending CQ Ops"/>
    <x v="1"/>
    <n v="1"/>
  </r>
  <r>
    <m/>
    <s v="New_1P_Art_Supplies_2022_01_08_57000"/>
    <s v="Art Supplies"/>
    <s v="Art Pencils"/>
    <s v="CRAYOLA LLC"/>
    <s v="57000"/>
    <x v="5"/>
    <x v="0"/>
    <s v="Pending CQ Ops"/>
    <x v="1"/>
    <n v="1"/>
  </r>
  <r>
    <m/>
    <s v="New_1P_Art_Supplies_2022_01_12_553755"/>
    <s v="Art Supplies"/>
    <s v="Art &amp; Craft Kits"/>
    <s v="HORIZON GROUP USA INC"/>
    <s v="553755"/>
    <x v="5"/>
    <x v="0"/>
    <s v="Pending CQ Ops"/>
    <x v="1"/>
    <n v="1"/>
  </r>
  <r>
    <m/>
    <s v="New_1P_Art_Supplies_2022_01_13_549568"/>
    <s v="Art Supplies"/>
    <s v="Art Easels"/>
    <s v="MGA ENTERTAINMENT INC"/>
    <s v="549568"/>
    <x v="5"/>
    <x v="0"/>
    <s v="Pending CQ Ops"/>
    <x v="1"/>
    <n v="1"/>
  </r>
  <r>
    <m/>
    <s v="New_1P_Art_Supplies_2022_01_13_740042"/>
    <s v="Art Supplies"/>
    <s v="Art Sets"/>
    <s v="STEVEN B GOLDEN ASSOCIATES"/>
    <s v="740042"/>
    <x v="5"/>
    <x v="0"/>
    <s v="Pending CQ Ops"/>
    <x v="1"/>
    <n v="1"/>
  </r>
  <r>
    <m/>
    <s v="New_1P_Art_Supplies_2022_01_13_89895"/>
    <s v="Art Supplies"/>
    <s v="Art Easels"/>
    <s v="Gymax LLC"/>
    <s v="89895"/>
    <x v="5"/>
    <x v="0"/>
    <s v="Pending CQ Ops"/>
    <x v="1"/>
    <n v="2"/>
  </r>
  <r>
    <m/>
    <s v="New_1P_Art_Supplies_2022_01_18_553755"/>
    <s v="Art Supplies"/>
    <s v="Art &amp; Craft Kits"/>
    <s v="HORIZON GROUP USA INC"/>
    <s v="553755"/>
    <x v="5"/>
    <x v="0"/>
    <s v="Pending CQ Ops"/>
    <x v="1"/>
    <n v="2"/>
  </r>
  <r>
    <m/>
    <s v="New_1P_Art_Supplies_2022_01_22_72011"/>
    <s v="Art Supplies"/>
    <s v="Art Brushes"/>
    <s v="Machinehome Inc"/>
    <s v="72011"/>
    <x v="5"/>
    <x v="2"/>
    <s v="Pending QC"/>
    <x v="1"/>
    <n v="1"/>
  </r>
  <r>
    <m/>
    <s v="New_1P_Fabric_Craft_2022_01_23_459302"/>
    <s v="Fabric Craft"/>
    <s v="Fabric Dyes"/>
    <s v="DUNCAN ENTERPRISES"/>
    <s v="459302"/>
    <x v="5"/>
    <x v="2"/>
    <s v="Pending QC"/>
    <x v="1"/>
    <n v="1"/>
  </r>
  <r>
    <m/>
    <s v="New_1P_Fabrics,_Yarn,_&amp;_Thread_2021_07_28_753913"/>
    <s v="Fabrics, Yarn, &amp; Thread"/>
    <s v="Sewing &amp; Craft Fabric"/>
    <s v="Vista Partners, Inc. dba Petersen-Arne"/>
    <s v="753913"/>
    <x v="5"/>
    <x v="0"/>
    <s v="Pending CQ Ops"/>
    <x v="1"/>
    <n v="17"/>
  </r>
  <r>
    <m/>
    <s v="New_1P_Fabrics,_Yarn,_&amp;_Thread_2021_09_16_319657"/>
    <s v="Fabrics, Yarn, &amp; Thread"/>
    <s v="Sewing &amp; Craft Fabric"/>
    <s v="SPRINGS CREATIVE PRODUCTS"/>
    <s v="319657"/>
    <x v="5"/>
    <x v="0"/>
    <s v="Pending CQ Ops"/>
    <x v="1"/>
    <n v="2"/>
  </r>
  <r>
    <m/>
    <s v="New_1P_Fabrics,_Yarn,_&amp;_Thread_2021_09_16_319657"/>
    <s v="Fabrics, Yarn, &amp; Thread"/>
    <s v="Sewing &amp; Craft Fabric"/>
    <s v="SPRINGS CREATIVE PRODUCTS"/>
    <s v="319657"/>
    <x v="5"/>
    <x v="0"/>
    <s v="Pending CQ Ops"/>
    <x v="1"/>
    <n v="13"/>
  </r>
  <r>
    <m/>
    <s v="New_1P_Fabrics,_Yarn,_&amp;_Thread_2021_09_30_753913"/>
    <s v="Fabrics, Yarn, &amp; Thread"/>
    <s v="Sewing &amp; Craft Fabric"/>
    <s v="Vista Partners, Inc. dba Petersen-Arne"/>
    <s v="753913"/>
    <x v="5"/>
    <x v="0"/>
    <s v="Pending CQ Ops"/>
    <x v="1"/>
    <n v="18"/>
  </r>
  <r>
    <m/>
    <s v="New_1P_Fabrics,_Yarn,_&amp;_Thread_2021_10_26_508804"/>
    <s v="Fabrics, Yarn, &amp; Thread"/>
    <s v="Sewing &amp; Craft Fabric"/>
    <s v="CHINATEX ORIENTAL USA INC"/>
    <s v="508804"/>
    <x v="5"/>
    <x v="0"/>
    <s v="Pending CQ Ops"/>
    <x v="1"/>
    <n v="1"/>
  </r>
  <r>
    <m/>
    <s v="New_1P_Fabrics,_Yarn,_&amp;_Thread_2021_10_26_508804"/>
    <s v="Fabrics, Yarn, &amp; Thread"/>
    <s v="Sewing &amp; Craft Fabric"/>
    <s v="CHINATEX ORIENTAL USA INC"/>
    <s v="508804"/>
    <x v="5"/>
    <x v="0"/>
    <s v="Pending CQ Ops"/>
    <x v="1"/>
    <n v="38"/>
  </r>
  <r>
    <m/>
    <s v="New_1P_Fabrics,_Yarn,_&amp;_Thread_2021_10_26_508804"/>
    <s v="Fabrics, Yarn, &amp; Thread"/>
    <s v="Sewing &amp; Craft Fabric"/>
    <s v="CHINATEX ORIENTAL USA INC"/>
    <s v="508804"/>
    <x v="5"/>
    <x v="0"/>
    <s v="Pending CQ Ops"/>
    <x v="1"/>
    <n v="6"/>
  </r>
  <r>
    <m/>
    <s v="New_1P_Fabrics,_Yarn,_&amp;_Thread_2021_10_26_508804"/>
    <s v="Fabrics, Yarn, &amp; Thread"/>
    <s v="Sewing &amp; Craft Fabric"/>
    <s v="CHINATEX ORIENTAL USA INC"/>
    <s v="508804"/>
    <x v="5"/>
    <x v="0"/>
    <s v="Pending CQ Ops"/>
    <x v="1"/>
    <n v="28"/>
  </r>
  <r>
    <m/>
    <s v="New_1P_Fabrics,_Yarn,_&amp;_Thread_2021_10_26_508804"/>
    <s v="Fabrics, Yarn, &amp; Thread"/>
    <s v="Sewing &amp; Craft Fabric"/>
    <s v="CHINATEX ORIENTAL USA INC"/>
    <s v="508804"/>
    <x v="5"/>
    <x v="0"/>
    <s v="Pending CQ Ops"/>
    <x v="1"/>
    <n v="1"/>
  </r>
  <r>
    <m/>
    <s v="New_1P_Fabrics,_Yarn,_&amp;_Thread_2021_11_09_319657"/>
    <s v="Fabrics, Yarn, &amp; Thread"/>
    <s v="Sewing &amp; Craft Fabric"/>
    <s v="SPRINGS CREATIVE PRODUCTS"/>
    <s v="319657"/>
    <x v="5"/>
    <x v="0"/>
    <s v="Pending CQ Ops"/>
    <x v="1"/>
    <n v="8"/>
  </r>
  <r>
    <m/>
    <s v="New_1P_Fabrics,_Yarn,_&amp;_Thread_2022_01_22_72011"/>
    <s v="Fabrics, Yarn, &amp; Thread"/>
    <s v="Quilting Fabric Assortments"/>
    <s v="Machinehome Inc"/>
    <s v="72011"/>
    <x v="5"/>
    <x v="2"/>
    <s v="Pending QC"/>
    <x v="1"/>
    <n v="1"/>
  </r>
  <r>
    <m/>
    <s v="New_1P_Fabrics,_Yarn,_&amp;_Thread_2022_01_22_72011"/>
    <s v="Fabrics, Yarn, &amp; Thread"/>
    <s v="Sewing &amp; Craft Fabric"/>
    <s v="Machinehome Inc"/>
    <s v="72011"/>
    <x v="5"/>
    <x v="2"/>
    <s v="Pending QC"/>
    <x v="1"/>
    <n v="1"/>
  </r>
  <r>
    <m/>
    <s v="New_1P_Fabrics,_Yarn,_&amp;_Thread_2022_01_22_72011"/>
    <s v="Fabrics, Yarn, &amp; Thread"/>
    <s v="Sewing Thread"/>
    <s v="Machinehome Inc"/>
    <s v="72011"/>
    <x v="5"/>
    <x v="2"/>
    <s v="Pending QC"/>
    <x v="1"/>
    <n v="1"/>
  </r>
  <r>
    <m/>
    <s v="New_1P_Fabrics,_Yarn,_&amp;_Thread_2022_01_22_787341"/>
    <s v="Fabrics, Yarn, &amp; Thread"/>
    <s v="Sewing &amp; Craft Elastic"/>
    <s v="Tasharina Corp."/>
    <s v="787341"/>
    <x v="5"/>
    <x v="2"/>
    <s v="Pending QC"/>
    <x v="1"/>
    <n v="1"/>
  </r>
  <r>
    <m/>
    <s v="New_1P_Sewing,_Knitting,_&amp;_Weaving_Kits_2022_01_22_72011"/>
    <s v="Sewing, Knitting, &amp; Weaving Kits"/>
    <s v="Sewing Sets &amp; Kits"/>
    <s v="Machinehome Inc"/>
    <s v="72011"/>
    <x v="5"/>
    <x v="2"/>
    <s v="Pending QC"/>
    <x v="1"/>
    <n v="1"/>
  </r>
  <r>
    <m/>
    <s v="OZ_1P_Art_Supplies_2021_11_09_39107"/>
    <s v="Art Supplies"/>
    <s v="Art Pads &amp; Paper"/>
    <s v="Dixon Ticonderoga Company"/>
    <s v="39107"/>
    <x v="6"/>
    <x v="0"/>
    <s v="Pending CQ Ops"/>
    <x v="0"/>
    <n v="2"/>
  </r>
  <r>
    <m/>
    <s v="OZ_1P_Fabrics,_Yarn,_&amp;_Thread_2021_09_17_604145"/>
    <s v="Fabrics, Yarn, &amp; Thread"/>
    <s v="Sewing &amp; Craft Fabric"/>
    <s v="SHASON INC"/>
    <s v="604145"/>
    <x v="6"/>
    <x v="0"/>
    <s v="Pending CQ Ops"/>
    <x v="1"/>
    <n v="1"/>
  </r>
  <r>
    <m/>
    <s v="OZ_1P_Fabrics,_Yarn,_&amp;_Thread_2021_10_26_508804"/>
    <s v="Fabrics, Yarn, &amp; Thread"/>
    <s v="Sewing &amp; Craft Fabric"/>
    <s v="CHINATEX ORIENTAL USA INC"/>
    <s v="508804"/>
    <x v="6"/>
    <x v="1"/>
    <s v="Revalidation Production Pending"/>
    <x v="0"/>
    <n v="1"/>
  </r>
  <r>
    <m/>
    <s v="OZ_1P_Fabrics,_Yarn,_&amp;_Thread_2021_10_26_508804"/>
    <s v="Fabrics, Yarn, &amp; Thread"/>
    <s v="Sewing &amp; Craft Fabric"/>
    <s v="CHINATEX ORIENTAL USA INC"/>
    <s v="508804"/>
    <x v="6"/>
    <x v="1"/>
    <s v="Revalidation Production Pending"/>
    <x v="0"/>
    <n v="41"/>
  </r>
  <r>
    <m/>
    <s v="OZ_1P_Fabrics,_Yarn,_and_Thread_2020_08_12_360297"/>
    <s v="Fabrics, Yarn, &amp; Thread"/>
    <s v="Sewing &amp; Craft Fabric"/>
    <s v="DAVID TEXTILES INC"/>
    <s v="360297"/>
    <x v="6"/>
    <x v="1"/>
    <s v="Revalidation Production Pending"/>
    <x v="0"/>
    <n v="32"/>
  </r>
  <r>
    <m/>
    <m/>
    <m/>
    <m/>
    <m/>
    <m/>
    <x v="0"/>
    <x v="2"/>
    <s v="Pending QC"/>
    <x v="0"/>
    <m/>
  </r>
  <r>
    <m/>
    <m/>
    <m/>
    <m/>
    <m/>
    <m/>
    <x v="1"/>
    <x v="2"/>
    <s v="Pending QC"/>
    <x v="0"/>
    <m/>
  </r>
  <r>
    <m/>
    <m/>
    <m/>
    <m/>
    <m/>
    <m/>
    <x v="7"/>
    <x v="2"/>
    <s v="Pending QC"/>
    <x v="0"/>
    <m/>
  </r>
  <r>
    <m/>
    <m/>
    <m/>
    <m/>
    <m/>
    <m/>
    <x v="4"/>
    <x v="2"/>
    <s v="Pending QC"/>
    <x v="0"/>
    <m/>
  </r>
  <r>
    <m/>
    <m/>
    <m/>
    <m/>
    <m/>
    <m/>
    <x v="2"/>
    <x v="2"/>
    <s v="Pending QC"/>
    <x v="0"/>
    <m/>
  </r>
  <r>
    <m/>
    <m/>
    <m/>
    <m/>
    <m/>
    <m/>
    <x v="3"/>
    <x v="2"/>
    <s v="Pending QC"/>
    <x v="0"/>
    <m/>
  </r>
  <r>
    <m/>
    <m/>
    <m/>
    <m/>
    <m/>
    <m/>
    <x v="8"/>
    <x v="2"/>
    <s v="Pending QC"/>
    <x v="0"/>
    <m/>
  </r>
  <r>
    <m/>
    <m/>
    <m/>
    <m/>
    <m/>
    <m/>
    <x v="5"/>
    <x v="2"/>
    <s v="Pending QC"/>
    <x v="0"/>
    <m/>
  </r>
  <r>
    <m/>
    <m/>
    <m/>
    <m/>
    <m/>
    <m/>
    <x v="9"/>
    <x v="2"/>
    <s v="Pending QC"/>
    <x v="0"/>
    <m/>
  </r>
  <r>
    <m/>
    <m/>
    <m/>
    <m/>
    <m/>
    <m/>
    <x v="10"/>
    <x v="2"/>
    <s v="Pending QC"/>
    <x v="0"/>
    <m/>
  </r>
  <r>
    <m/>
    <m/>
    <m/>
    <m/>
    <m/>
    <m/>
    <x v="6"/>
    <x v="2"/>
    <s v="Pending QC"/>
    <x v="0"/>
    <m/>
  </r>
  <r>
    <m/>
    <m/>
    <m/>
    <m/>
    <m/>
    <m/>
    <x v="0"/>
    <x v="0"/>
    <s v="Pending CQ Ops"/>
    <x v="0"/>
    <m/>
  </r>
  <r>
    <m/>
    <m/>
    <m/>
    <m/>
    <m/>
    <m/>
    <x v="1"/>
    <x v="0"/>
    <s v="Pending CQ Ops"/>
    <x v="0"/>
    <m/>
  </r>
  <r>
    <m/>
    <m/>
    <m/>
    <m/>
    <m/>
    <m/>
    <x v="7"/>
    <x v="0"/>
    <s v="Pending CQ Ops"/>
    <x v="0"/>
    <m/>
  </r>
  <r>
    <m/>
    <m/>
    <m/>
    <m/>
    <m/>
    <m/>
    <x v="4"/>
    <x v="0"/>
    <s v="Pending CQ Ops"/>
    <x v="0"/>
    <m/>
  </r>
  <r>
    <m/>
    <m/>
    <m/>
    <m/>
    <m/>
    <m/>
    <x v="2"/>
    <x v="0"/>
    <s v="Pending CQ Ops"/>
    <x v="0"/>
    <m/>
  </r>
  <r>
    <m/>
    <m/>
    <m/>
    <m/>
    <m/>
    <m/>
    <x v="3"/>
    <x v="0"/>
    <s v="Pending CQ Ops"/>
    <x v="0"/>
    <m/>
  </r>
  <r>
    <m/>
    <m/>
    <m/>
    <m/>
    <m/>
    <m/>
    <x v="8"/>
    <x v="0"/>
    <s v="Pending CQ Ops"/>
    <x v="0"/>
    <m/>
  </r>
  <r>
    <m/>
    <m/>
    <m/>
    <m/>
    <m/>
    <m/>
    <x v="5"/>
    <x v="0"/>
    <s v="Pending CQ Ops"/>
    <x v="0"/>
    <m/>
  </r>
  <r>
    <m/>
    <m/>
    <m/>
    <m/>
    <m/>
    <m/>
    <x v="9"/>
    <x v="0"/>
    <s v="Pending CQ Ops"/>
    <x v="0"/>
    <m/>
  </r>
  <r>
    <m/>
    <m/>
    <m/>
    <m/>
    <m/>
    <m/>
    <x v="6"/>
    <x v="0"/>
    <s v="Pending CQ Ops"/>
    <x v="0"/>
    <m/>
  </r>
  <r>
    <m/>
    <m/>
    <m/>
    <m/>
    <m/>
    <m/>
    <x v="10"/>
    <x v="0"/>
    <s v="Pending CQ Ops"/>
    <x v="0"/>
    <m/>
  </r>
  <r>
    <m/>
    <m/>
    <m/>
    <m/>
    <m/>
    <m/>
    <x v="10"/>
    <x v="1"/>
    <s v="Revalidation QC Pending"/>
    <x v="0"/>
    <m/>
  </r>
  <r>
    <m/>
    <m/>
    <m/>
    <m/>
    <m/>
    <m/>
    <x v="1"/>
    <x v="1"/>
    <s v="Revalidation QC Pending"/>
    <x v="0"/>
    <m/>
  </r>
  <r>
    <m/>
    <m/>
    <m/>
    <m/>
    <m/>
    <m/>
    <x v="7"/>
    <x v="1"/>
    <s v="Revalidation QC Pending"/>
    <x v="0"/>
    <m/>
  </r>
  <r>
    <m/>
    <m/>
    <m/>
    <m/>
    <m/>
    <m/>
    <x v="4"/>
    <x v="1"/>
    <s v="Revalidation QC Pending"/>
    <x v="0"/>
    <m/>
  </r>
  <r>
    <m/>
    <m/>
    <m/>
    <m/>
    <m/>
    <m/>
    <x v="2"/>
    <x v="1"/>
    <s v="Revalidation QC Pending"/>
    <x v="0"/>
    <m/>
  </r>
  <r>
    <m/>
    <m/>
    <m/>
    <m/>
    <m/>
    <m/>
    <x v="3"/>
    <x v="1"/>
    <s v="Revalidation QC Pending"/>
    <x v="0"/>
    <m/>
  </r>
  <r>
    <m/>
    <m/>
    <m/>
    <m/>
    <m/>
    <m/>
    <x v="8"/>
    <x v="1"/>
    <s v="Revalidation QC Pending"/>
    <x v="0"/>
    <m/>
  </r>
  <r>
    <m/>
    <m/>
    <m/>
    <m/>
    <m/>
    <m/>
    <x v="5"/>
    <x v="1"/>
    <s v="Revalidation QC Pending"/>
    <x v="0"/>
    <m/>
  </r>
  <r>
    <m/>
    <m/>
    <m/>
    <m/>
    <m/>
    <m/>
    <x v="9"/>
    <x v="1"/>
    <s v="Revalidation QC Pending"/>
    <x v="0"/>
    <m/>
  </r>
  <r>
    <m/>
    <m/>
    <m/>
    <m/>
    <m/>
    <m/>
    <x v="6"/>
    <x v="1"/>
    <s v="Revalidation QC Pending"/>
    <x v="0"/>
    <m/>
  </r>
  <r>
    <m/>
    <m/>
    <m/>
    <m/>
    <m/>
    <m/>
    <x v="0"/>
    <x v="1"/>
    <s v="Revalidation QC Pending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ABB55C-55A1-41C8-BE5A-CA9CAC27394D}" name="SPivotTable" cacheId="22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3:M25" firstHeaderRow="1" firstDataRow="2" firstDataCol="1"/>
  <pivotFields count="11">
    <pivotField showAll="0"/>
    <pivotField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axis="axisCol" showAll="0">
      <items count="12">
        <item x="5"/>
        <item x="3"/>
        <item x="4"/>
        <item x="0"/>
        <item x="6"/>
        <item x="7"/>
        <item x="8"/>
        <item x="1"/>
        <item x="9"/>
        <item x="10"/>
        <item x="2"/>
        <item t="default"/>
      </items>
    </pivotField>
    <pivotField showAll="0"/>
    <pivotField axis="axisRow" showAll="0">
      <items count="3">
        <item x="0"/>
        <item x="1"/>
        <item t="default"/>
      </items>
    </pivotField>
    <pivotField showAll="0"/>
    <pivotField dataField="1" showAll="0"/>
  </pivotFields>
  <rowFields count="2">
    <field x="8"/>
    <field x="2"/>
  </rowFields>
  <rowItems count="2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6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Sum of # OF ITEMS" fld="10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07AE28-C710-46F2-82D4-337F7B770123}" name="RPivotTable" cacheId="27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3:M25" firstHeaderRow="1" firstDataRow="2" firstDataCol="1"/>
  <pivotFields count="11">
    <pivotField axis="axisRow" showAll="0">
      <items count="3">
        <item x="0"/>
        <item x="1"/>
        <item t="default"/>
      </items>
    </pivotField>
    <pivotField showAll="0"/>
    <pivotField axis="axisRow" showAll="0">
      <items count="10">
        <item x="0"/>
        <item x="3"/>
        <item x="4"/>
        <item x="5"/>
        <item x="6"/>
        <item x="7"/>
        <item x="8"/>
        <item x="1"/>
        <item x="2"/>
        <item t="default"/>
      </items>
    </pivotField>
    <pivotField showAll="0"/>
    <pivotField showAll="0"/>
    <pivotField showAll="0"/>
    <pivotField axis="axisCol" showAll="0">
      <items count="12">
        <item x="6"/>
        <item x="0"/>
        <item x="1"/>
        <item x="7"/>
        <item x="2"/>
        <item x="3"/>
        <item x="8"/>
        <item x="4"/>
        <item x="9"/>
        <item x="10"/>
        <item x="5"/>
        <item t="default"/>
      </items>
    </pivotField>
    <pivotField showAll="0"/>
    <pivotField showAll="0"/>
    <pivotField showAll="0"/>
    <pivotField dataField="1" showAll="0"/>
  </pivotFields>
  <rowFields count="2">
    <field x="0"/>
    <field x="2"/>
  </rowFields>
  <rowItems count="2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6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Sum of # OF ITEMS" fld="10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3BD8C1-8EB6-41C2-830F-50480E942082}" name="QPivotTable" cacheId="32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3:D41" firstHeaderRow="1" firstDataRow="2" firstDataCol="1"/>
  <pivotFields count="11">
    <pivotField showAll="0"/>
    <pivotField showAll="0"/>
    <pivotField showAll="0"/>
    <pivotField showAll="0"/>
    <pivotField showAll="0"/>
    <pivotField showAll="0"/>
    <pivotField axis="axisRow" showAll="0">
      <items count="12">
        <item x="7"/>
        <item x="0"/>
        <item x="1"/>
        <item x="4"/>
        <item x="2"/>
        <item x="3"/>
        <item x="8"/>
        <item x="5"/>
        <item x="9"/>
        <item x="10"/>
        <item x="6"/>
        <item t="default"/>
      </items>
    </pivotField>
    <pivotField axis="axisRow" showAll="0">
      <items count="4">
        <item x="0"/>
        <item x="2"/>
        <item x="1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dataField="1" showAll="0"/>
  </pivotFields>
  <rowFields count="2">
    <field x="7"/>
    <field x="6"/>
  </rowFields>
  <rowItems count="3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Sum of # OF ITEMS" fld="10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F501F-20CB-47DA-8CB8-9949CB8E17D5}">
  <sheetPr codeName="Sheet1"/>
  <dimension ref="A1:BX63"/>
  <sheetViews>
    <sheetView tabSelected="1" topLeftCell="AM13" zoomScale="70" zoomScaleNormal="70" workbookViewId="0">
      <selection activeCell="AX24" sqref="AX24"/>
    </sheetView>
  </sheetViews>
  <sheetFormatPr defaultRowHeight="14.4" x14ac:dyDescent="0.3"/>
  <cols>
    <col min="1" max="1" width="40.88671875" customWidth="1"/>
    <col min="51" max="51" width="4.88671875" customWidth="1"/>
  </cols>
  <sheetData>
    <row r="1" spans="1:76" ht="15" customHeight="1" x14ac:dyDescent="0.3">
      <c r="A1" s="77"/>
      <c r="B1" s="81" t="s">
        <v>0</v>
      </c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8" t="s">
        <v>1</v>
      </c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90"/>
      <c r="BA1" s="3" t="s">
        <v>21</v>
      </c>
      <c r="BB1" s="7" t="s">
        <v>22</v>
      </c>
      <c r="BC1" s="7"/>
      <c r="BD1" s="76" t="s">
        <v>23</v>
      </c>
      <c r="BE1" s="76"/>
      <c r="BF1" s="4" t="s">
        <v>24</v>
      </c>
      <c r="BH1" s="3" t="s">
        <v>44</v>
      </c>
      <c r="BI1" s="7" t="s">
        <v>22</v>
      </c>
      <c r="BJ1" s="7"/>
      <c r="BK1" s="76" t="s">
        <v>23</v>
      </c>
      <c r="BL1" s="76"/>
      <c r="BM1" s="4" t="s">
        <v>24</v>
      </c>
    </row>
    <row r="2" spans="1:76" ht="29.4" customHeight="1" x14ac:dyDescent="0.3">
      <c r="A2" s="78"/>
      <c r="B2" s="79" t="s">
        <v>14</v>
      </c>
      <c r="C2" s="79"/>
      <c r="D2" s="80" t="s">
        <v>13</v>
      </c>
      <c r="E2" s="80"/>
      <c r="F2" s="79" t="s">
        <v>38</v>
      </c>
      <c r="G2" s="79"/>
      <c r="H2" s="79" t="s">
        <v>15</v>
      </c>
      <c r="I2" s="79"/>
      <c r="J2" s="79" t="s">
        <v>39</v>
      </c>
      <c r="K2" s="79"/>
      <c r="L2" s="79" t="s">
        <v>40</v>
      </c>
      <c r="M2" s="79"/>
      <c r="N2" s="79" t="s">
        <v>16</v>
      </c>
      <c r="O2" s="79"/>
      <c r="P2" s="82" t="s">
        <v>17</v>
      </c>
      <c r="Q2" s="83"/>
      <c r="R2" s="84" t="s">
        <v>18</v>
      </c>
      <c r="S2" s="85"/>
      <c r="T2" s="84" t="s">
        <v>78</v>
      </c>
      <c r="U2" s="85"/>
      <c r="V2" s="82" t="s">
        <v>2</v>
      </c>
      <c r="W2" s="83"/>
      <c r="X2" s="79" t="s">
        <v>19</v>
      </c>
      <c r="Y2" s="79"/>
      <c r="Z2" s="72" t="s">
        <v>14</v>
      </c>
      <c r="AA2" s="72"/>
      <c r="AB2" s="73" t="s">
        <v>13</v>
      </c>
      <c r="AC2" s="73"/>
      <c r="AD2" s="72" t="s">
        <v>38</v>
      </c>
      <c r="AE2" s="72"/>
      <c r="AF2" s="72" t="s">
        <v>15</v>
      </c>
      <c r="AG2" s="72"/>
      <c r="AH2" s="72" t="s">
        <v>39</v>
      </c>
      <c r="AI2" s="72"/>
      <c r="AJ2" s="72" t="s">
        <v>40</v>
      </c>
      <c r="AK2" s="72"/>
      <c r="AL2" s="72" t="s">
        <v>16</v>
      </c>
      <c r="AM2" s="72"/>
      <c r="AN2" s="74" t="s">
        <v>17</v>
      </c>
      <c r="AO2" s="75"/>
      <c r="AP2" s="70" t="s">
        <v>18</v>
      </c>
      <c r="AQ2" s="71"/>
      <c r="AR2" s="70" t="s">
        <v>78</v>
      </c>
      <c r="AS2" s="71"/>
      <c r="AT2" s="74" t="s">
        <v>2</v>
      </c>
      <c r="AU2" s="75"/>
      <c r="AV2" s="86" t="s">
        <v>19</v>
      </c>
      <c r="AW2" s="87"/>
      <c r="BA2" s="64" t="s">
        <v>25</v>
      </c>
      <c r="BB2" s="61" t="s">
        <v>26</v>
      </c>
      <c r="BC2" s="9" t="s">
        <v>27</v>
      </c>
      <c r="BD2" s="10">
        <f>SUM(B3:C3)</f>
        <v>0</v>
      </c>
      <c r="BE2" s="10">
        <f>SUM(Z3:AA3)</f>
        <v>1</v>
      </c>
      <c r="BF2" s="60" t="s">
        <v>28</v>
      </c>
      <c r="BH2" s="64" t="s">
        <v>25</v>
      </c>
      <c r="BI2" s="61" t="s">
        <v>26</v>
      </c>
      <c r="BJ2" s="9" t="s">
        <v>27</v>
      </c>
      <c r="BK2" s="10">
        <f>SUM(B4:C11)</f>
        <v>0</v>
      </c>
      <c r="BL2" s="10">
        <f>SUM(Z4:AA11)</f>
        <v>1</v>
      </c>
      <c r="BM2" s="60" t="s">
        <v>28</v>
      </c>
    </row>
    <row r="3" spans="1:76" x14ac:dyDescent="0.3">
      <c r="A3" s="42" t="s">
        <v>3</v>
      </c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>
        <v>8</v>
      </c>
      <c r="R3" s="41"/>
      <c r="S3" s="41"/>
      <c r="T3" s="41"/>
      <c r="U3" s="41"/>
      <c r="V3" s="41"/>
      <c r="W3" s="41"/>
      <c r="X3" s="40"/>
      <c r="Y3" s="40"/>
      <c r="Z3" s="45"/>
      <c r="AA3" s="45">
        <v>1</v>
      </c>
      <c r="AB3" s="45"/>
      <c r="AC3" s="45">
        <v>2</v>
      </c>
      <c r="AD3" s="45"/>
      <c r="AE3" s="45"/>
      <c r="AF3" s="45"/>
      <c r="AG3" s="45"/>
      <c r="AH3" s="45"/>
      <c r="AI3" s="45">
        <v>4</v>
      </c>
      <c r="AJ3" s="45"/>
      <c r="AK3" s="45">
        <v>27</v>
      </c>
      <c r="AL3" s="45"/>
      <c r="AM3" s="45"/>
      <c r="AN3" s="45"/>
      <c r="AO3" s="45">
        <v>6</v>
      </c>
      <c r="AP3" s="45"/>
      <c r="AQ3" s="45"/>
      <c r="AR3" s="45"/>
      <c r="AS3" s="45"/>
      <c r="AT3" s="45"/>
      <c r="AU3" s="45">
        <v>74</v>
      </c>
      <c r="AV3" s="44"/>
      <c r="AW3" s="43"/>
      <c r="BA3" s="64"/>
      <c r="BB3" s="61"/>
      <c r="BC3" s="9" t="s">
        <v>29</v>
      </c>
      <c r="BD3" s="10">
        <f>SUM(D3:E3)</f>
        <v>0</v>
      </c>
      <c r="BE3" s="10">
        <f>SUM(AB3:AC3)</f>
        <v>2</v>
      </c>
      <c r="BF3" s="60"/>
      <c r="BH3" s="64"/>
      <c r="BI3" s="61"/>
      <c r="BJ3" s="9" t="s">
        <v>29</v>
      </c>
      <c r="BK3" s="10">
        <f>SUM(D4:E11)</f>
        <v>0</v>
      </c>
      <c r="BL3" s="10">
        <f>SUM(AB4:AC11)</f>
        <v>0</v>
      </c>
      <c r="BM3" s="60"/>
      <c r="BP3" s="22"/>
      <c r="BR3" s="22" t="s">
        <v>24</v>
      </c>
      <c r="BS3" s="22" t="s">
        <v>34</v>
      </c>
      <c r="BT3" s="22" t="s">
        <v>63</v>
      </c>
      <c r="BU3" s="22" t="s">
        <v>69</v>
      </c>
      <c r="BV3" s="22" t="s">
        <v>64</v>
      </c>
      <c r="BW3" s="22" t="s">
        <v>65</v>
      </c>
      <c r="BX3" s="22" t="s">
        <v>66</v>
      </c>
    </row>
    <row r="4" spans="1:76" x14ac:dyDescent="0.3">
      <c r="A4" s="42" t="s">
        <v>4</v>
      </c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>
        <v>20</v>
      </c>
      <c r="R4" s="41"/>
      <c r="S4" s="41"/>
      <c r="T4" s="41"/>
      <c r="U4" s="41"/>
      <c r="V4" s="41"/>
      <c r="W4" s="41"/>
      <c r="X4" s="40"/>
      <c r="Y4" s="40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4"/>
      <c r="AW4" s="43"/>
      <c r="BA4" s="64"/>
      <c r="BB4" s="9" t="s">
        <v>43</v>
      </c>
      <c r="BC4" s="9" t="s">
        <v>36</v>
      </c>
      <c r="BD4" s="10">
        <f>SUM(F3:G3)</f>
        <v>0</v>
      </c>
      <c r="BE4" s="10">
        <f>SUM(AD3:AE3)</f>
        <v>0</v>
      </c>
      <c r="BF4" s="60"/>
      <c r="BH4" s="64"/>
      <c r="BI4" s="9" t="s">
        <v>43</v>
      </c>
      <c r="BJ4" s="9" t="s">
        <v>36</v>
      </c>
      <c r="BK4" s="10">
        <f>SUM(F4:G11)</f>
        <v>0</v>
      </c>
      <c r="BL4" s="10">
        <f>SUM(AD4:AE11)</f>
        <v>0</v>
      </c>
      <c r="BM4" s="60"/>
      <c r="BR4" s="23" t="s">
        <v>35</v>
      </c>
      <c r="BS4" s="24"/>
      <c r="BT4" s="24"/>
      <c r="BU4" s="24"/>
      <c r="BV4" s="24"/>
      <c r="BW4" s="24"/>
      <c r="BX4" s="24"/>
    </row>
    <row r="5" spans="1:76" x14ac:dyDescent="0.3">
      <c r="A5" s="42" t="s">
        <v>5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>
        <v>4</v>
      </c>
      <c r="R5" s="41"/>
      <c r="S5" s="41"/>
      <c r="T5" s="41"/>
      <c r="U5" s="41"/>
      <c r="V5" s="41"/>
      <c r="W5" s="41"/>
      <c r="X5" s="40"/>
      <c r="Y5" s="40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4"/>
      <c r="AW5" s="43"/>
      <c r="BA5" s="64"/>
      <c r="BB5" s="61" t="s">
        <v>31</v>
      </c>
      <c r="BC5" s="9" t="s">
        <v>36</v>
      </c>
      <c r="BD5" s="10">
        <f>SUM(H3:I3)</f>
        <v>0</v>
      </c>
      <c r="BE5" s="10">
        <f>SUM(AF3:AG3)</f>
        <v>0</v>
      </c>
      <c r="BF5" s="60"/>
      <c r="BH5" s="64"/>
      <c r="BI5" s="61" t="s">
        <v>31</v>
      </c>
      <c r="BJ5" s="9" t="s">
        <v>36</v>
      </c>
      <c r="BK5" s="10">
        <f>SUM(H4:I11)</f>
        <v>0</v>
      </c>
      <c r="BL5" s="10">
        <f>SUM(AF4:AG11)</f>
        <v>0</v>
      </c>
      <c r="BM5" s="60"/>
      <c r="BR5" s="23" t="s">
        <v>67</v>
      </c>
      <c r="BS5" s="24"/>
      <c r="BT5" s="24"/>
      <c r="BU5" s="24"/>
      <c r="BV5" s="24"/>
      <c r="BW5" s="24"/>
      <c r="BX5" s="24"/>
    </row>
    <row r="6" spans="1:76" x14ac:dyDescent="0.3">
      <c r="A6" s="42" t="s">
        <v>6</v>
      </c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0"/>
      <c r="Y6" s="40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4"/>
      <c r="AW6" s="43"/>
      <c r="BA6" s="64"/>
      <c r="BB6" s="61"/>
      <c r="BC6" s="9" t="s">
        <v>41</v>
      </c>
      <c r="BD6" s="10">
        <f>SUM(J3:K3)</f>
        <v>0</v>
      </c>
      <c r="BE6" s="10">
        <f>SUM(AH3:AI3)</f>
        <v>4</v>
      </c>
      <c r="BF6" s="60"/>
      <c r="BH6" s="64"/>
      <c r="BI6" s="61"/>
      <c r="BJ6" s="9" t="s">
        <v>41</v>
      </c>
      <c r="BK6" s="10">
        <f>SUM(J4:K11)</f>
        <v>0</v>
      </c>
      <c r="BL6" s="10">
        <f>SUM(AH4:AI11)</f>
        <v>1</v>
      </c>
      <c r="BM6" s="60"/>
      <c r="BR6" s="23" t="s">
        <v>68</v>
      </c>
      <c r="BS6" s="24"/>
      <c r="BT6" s="24"/>
      <c r="BU6" s="24"/>
      <c r="BV6" s="24"/>
      <c r="BW6" s="24"/>
      <c r="BX6" s="24"/>
    </row>
    <row r="7" spans="1:76" x14ac:dyDescent="0.3">
      <c r="A7" s="42" t="s">
        <v>8</v>
      </c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0"/>
      <c r="Y7" s="40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4"/>
      <c r="AW7" s="43"/>
      <c r="BA7" s="64"/>
      <c r="BB7" s="61"/>
      <c r="BC7" s="9" t="s">
        <v>42</v>
      </c>
      <c r="BD7" s="10">
        <f>SUM(L3:M3)</f>
        <v>0</v>
      </c>
      <c r="BE7" s="10">
        <f>SUM(AJ3:AK3)</f>
        <v>27</v>
      </c>
      <c r="BF7" s="60"/>
      <c r="BH7" s="64"/>
      <c r="BI7" s="61"/>
      <c r="BJ7" s="9" t="s">
        <v>42</v>
      </c>
      <c r="BK7" s="10">
        <f>SUM(L4:M11)</f>
        <v>0</v>
      </c>
      <c r="BL7" s="10">
        <f>SUM(AJ4:AK11)</f>
        <v>0</v>
      </c>
      <c r="BM7" s="60"/>
    </row>
    <row r="8" spans="1:76" x14ac:dyDescent="0.3">
      <c r="A8" s="42" t="s">
        <v>7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0"/>
      <c r="Y8" s="40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4"/>
      <c r="AW8" s="43"/>
      <c r="BA8" s="64"/>
      <c r="BB8" s="61"/>
      <c r="BC8" s="9" t="s">
        <v>37</v>
      </c>
      <c r="BD8" s="10">
        <f>SUM(N3:O3)</f>
        <v>0</v>
      </c>
      <c r="BE8" s="10">
        <f>SUM(AL3:AM3)</f>
        <v>0</v>
      </c>
      <c r="BF8" s="60"/>
      <c r="BH8" s="64"/>
      <c r="BI8" s="61"/>
      <c r="BJ8" s="9" t="s">
        <v>37</v>
      </c>
      <c r="BK8" s="10">
        <f>SUM(N4:O11)</f>
        <v>0</v>
      </c>
      <c r="BL8" s="10">
        <f>SUM(AL4:AM11)</f>
        <v>0</v>
      </c>
      <c r="BM8" s="60"/>
    </row>
    <row r="9" spans="1:76" x14ac:dyDescent="0.3">
      <c r="A9" s="42" t="s">
        <v>9</v>
      </c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0"/>
      <c r="Y9" s="40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4"/>
      <c r="AW9" s="43"/>
      <c r="BA9" s="64"/>
      <c r="BB9" s="61" t="s">
        <v>30</v>
      </c>
      <c r="BC9" s="9" t="s">
        <v>36</v>
      </c>
      <c r="BD9" s="10">
        <f>SUM(P3:Q3)</f>
        <v>8</v>
      </c>
      <c r="BE9" s="10">
        <f>SUM(AN3:AO3)</f>
        <v>6</v>
      </c>
      <c r="BF9" s="60"/>
      <c r="BH9" s="64"/>
      <c r="BI9" s="61" t="s">
        <v>30</v>
      </c>
      <c r="BJ9" s="9" t="s">
        <v>36</v>
      </c>
      <c r="BK9" s="10">
        <f>SUM(P4:Q11)</f>
        <v>24</v>
      </c>
      <c r="BL9" s="10">
        <f>SUM(AN4:AO11)</f>
        <v>0</v>
      </c>
      <c r="BM9" s="60"/>
    </row>
    <row r="10" spans="1:76" x14ac:dyDescent="0.3">
      <c r="A10" s="42" t="s">
        <v>10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0"/>
      <c r="Y10" s="40"/>
      <c r="Z10" s="45"/>
      <c r="AA10" s="45">
        <v>1</v>
      </c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4"/>
      <c r="AW10" s="43"/>
      <c r="BA10" s="64"/>
      <c r="BB10" s="61"/>
      <c r="BC10" s="9" t="s">
        <v>37</v>
      </c>
      <c r="BD10" s="10">
        <f>SUM(R3:S3)</f>
        <v>0</v>
      </c>
      <c r="BE10" s="10">
        <f>SUM(AP3:AQ3)</f>
        <v>0</v>
      </c>
      <c r="BF10" s="60"/>
      <c r="BH10" s="64"/>
      <c r="BI10" s="61"/>
      <c r="BJ10" s="9" t="s">
        <v>37</v>
      </c>
      <c r="BK10" s="10">
        <f>SUM(R4:S11)</f>
        <v>0</v>
      </c>
      <c r="BL10" s="10">
        <f>SUM(AP4:AQ11)</f>
        <v>0</v>
      </c>
      <c r="BM10" s="60"/>
    </row>
    <row r="11" spans="1:76" x14ac:dyDescent="0.3">
      <c r="A11" s="42" t="s">
        <v>11</v>
      </c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0"/>
      <c r="Y11" s="40"/>
      <c r="Z11" s="45"/>
      <c r="AA11" s="45"/>
      <c r="AB11" s="45"/>
      <c r="AC11" s="45"/>
      <c r="AD11" s="45"/>
      <c r="AE11" s="45"/>
      <c r="AF11" s="45"/>
      <c r="AG11" s="45"/>
      <c r="AH11" s="45"/>
      <c r="AI11" s="45">
        <v>1</v>
      </c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4"/>
      <c r="AW11" s="43"/>
      <c r="BA11" s="64"/>
      <c r="BB11" s="9" t="s">
        <v>2</v>
      </c>
      <c r="BC11" s="9" t="s">
        <v>27</v>
      </c>
      <c r="BD11" s="10">
        <f>SUM(V3:W3)</f>
        <v>0</v>
      </c>
      <c r="BE11" s="10">
        <f>SUM(AT3:AU3)</f>
        <v>74</v>
      </c>
      <c r="BF11" s="60"/>
      <c r="BH11" s="64"/>
      <c r="BI11" s="9" t="s">
        <v>2</v>
      </c>
      <c r="BJ11" s="9" t="s">
        <v>27</v>
      </c>
      <c r="BK11" s="10">
        <f>SUM(V4:W11)</f>
        <v>0</v>
      </c>
      <c r="BL11" s="10">
        <f>SUM(AT4:AU11)</f>
        <v>0</v>
      </c>
      <c r="BM11" s="60"/>
    </row>
    <row r="12" spans="1:76" x14ac:dyDescent="0.3">
      <c r="A12" s="31" t="s">
        <v>12</v>
      </c>
      <c r="B12" s="91">
        <f>SUM(B3:Y11)</f>
        <v>32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3"/>
      <c r="Z12" s="94">
        <f>SUM(Z3:AW11)</f>
        <v>116</v>
      </c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  <c r="AP12" s="95"/>
      <c r="AQ12" s="95"/>
      <c r="AR12" s="95"/>
      <c r="AS12" s="95"/>
      <c r="AT12" s="95"/>
      <c r="AU12" s="95"/>
      <c r="AV12" s="96"/>
      <c r="AW12" s="97"/>
      <c r="BA12" s="64"/>
      <c r="BB12" s="9" t="s">
        <v>79</v>
      </c>
      <c r="BC12" s="9" t="s">
        <v>36</v>
      </c>
      <c r="BD12" s="30">
        <f>SUM(T3:U3)</f>
        <v>0</v>
      </c>
      <c r="BE12" s="30">
        <f>SUM(AR3:AS3)</f>
        <v>0</v>
      </c>
      <c r="BF12" s="60"/>
      <c r="BH12" s="64"/>
      <c r="BI12" s="9" t="s">
        <v>79</v>
      </c>
      <c r="BJ12" s="9"/>
      <c r="BK12" s="30">
        <f>SUM(T4:U11)</f>
        <v>0</v>
      </c>
      <c r="BL12" s="30">
        <f>SUM(AR4:AS11)</f>
        <v>0</v>
      </c>
      <c r="BM12" s="60"/>
    </row>
    <row r="13" spans="1:76" ht="15" thickBot="1" x14ac:dyDescent="0.35">
      <c r="A13" s="8" t="s">
        <v>20</v>
      </c>
      <c r="B13" s="100">
        <f>SUM(B3:B11,D3:D11,F3:F11,H3:H11,J3:J11,L3:L11,N3:N11,X3:X11,P3:P11,R3:R11,V3:V11,T3:T11)</f>
        <v>0</v>
      </c>
      <c r="C13" s="100"/>
      <c r="D13" s="100"/>
      <c r="E13" s="100"/>
      <c r="F13" s="100"/>
      <c r="G13" s="100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67">
        <f>SUM(Z3:Z11,AB3:AB11,AD3:AD11,AF3:AF11,AH3:AH11,AJ3:AJ11,AL3:AL11,AN3:AN11,AP3:AP11,AT3:AT11,AV3:AV11,AR3:AR11)</f>
        <v>0</v>
      </c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9"/>
      <c r="BA13" s="64"/>
      <c r="BB13" s="9" t="s">
        <v>32</v>
      </c>
      <c r="BC13" s="9"/>
      <c r="BD13" s="10">
        <f>SUM(X3:Y3)</f>
        <v>0</v>
      </c>
      <c r="BE13" s="10">
        <f>SUM(AV3:AW3)</f>
        <v>0</v>
      </c>
      <c r="BF13" s="60"/>
      <c r="BH13" s="64"/>
      <c r="BI13" s="9" t="s">
        <v>32</v>
      </c>
      <c r="BJ13" s="9"/>
      <c r="BK13" s="10">
        <f>SUM(X4:Y11)</f>
        <v>0</v>
      </c>
      <c r="BL13" s="10">
        <f>SUM(AV4:AW11)</f>
        <v>0</v>
      </c>
      <c r="BM13" s="60"/>
    </row>
    <row r="14" spans="1:76" x14ac:dyDescent="0.3">
      <c r="BA14" s="62" t="s">
        <v>33</v>
      </c>
      <c r="BB14" s="2" t="s">
        <v>43</v>
      </c>
      <c r="BC14" s="2" t="s">
        <v>27</v>
      </c>
      <c r="BD14" s="26"/>
      <c r="BE14" s="25"/>
      <c r="BF14" s="11"/>
      <c r="BH14" s="62" t="s">
        <v>33</v>
      </c>
      <c r="BI14" s="2" t="s">
        <v>43</v>
      </c>
      <c r="BJ14" s="2" t="s">
        <v>27</v>
      </c>
      <c r="BK14" s="6"/>
      <c r="BL14" s="6"/>
      <c r="BM14" s="11"/>
    </row>
    <row r="15" spans="1:76" x14ac:dyDescent="0.3">
      <c r="BA15" s="62"/>
      <c r="BB15" s="65" t="s">
        <v>26</v>
      </c>
      <c r="BC15" s="2" t="s">
        <v>36</v>
      </c>
      <c r="BD15" s="26"/>
      <c r="BE15" s="25"/>
      <c r="BF15" s="19"/>
      <c r="BH15" s="62"/>
      <c r="BI15" s="65" t="s">
        <v>26</v>
      </c>
      <c r="BJ15" s="2" t="s">
        <v>36</v>
      </c>
      <c r="BK15" s="6"/>
      <c r="BL15" s="6">
        <v>2</v>
      </c>
      <c r="BM15" s="11"/>
    </row>
    <row r="16" spans="1:76" x14ac:dyDescent="0.3">
      <c r="BA16" s="62"/>
      <c r="BB16" s="66"/>
      <c r="BC16" s="2" t="s">
        <v>37</v>
      </c>
      <c r="BD16" s="26"/>
      <c r="BE16" s="25">
        <v>2</v>
      </c>
      <c r="BF16" s="19"/>
      <c r="BH16" s="62"/>
      <c r="BI16" s="66"/>
      <c r="BJ16" s="2" t="s">
        <v>37</v>
      </c>
      <c r="BK16" s="6"/>
      <c r="BL16" s="6"/>
      <c r="BM16" s="11"/>
    </row>
    <row r="17" spans="2:66" x14ac:dyDescent="0.3">
      <c r="B17" s="27" t="s">
        <v>3</v>
      </c>
      <c r="C17" s="28"/>
      <c r="D17" s="28"/>
      <c r="E17" s="28"/>
      <c r="F17" s="28" t="s">
        <v>45</v>
      </c>
      <c r="G17" s="28" t="s">
        <v>213</v>
      </c>
      <c r="H17" s="28" t="s">
        <v>55</v>
      </c>
      <c r="J17" s="28" t="s">
        <v>389</v>
      </c>
      <c r="K17" s="28" t="s">
        <v>221</v>
      </c>
      <c r="N17" s="29" t="s">
        <v>45</v>
      </c>
      <c r="O17" s="29" t="s">
        <v>70</v>
      </c>
      <c r="P17" s="29" t="s">
        <v>71</v>
      </c>
      <c r="Q17" s="29" t="s">
        <v>72</v>
      </c>
      <c r="S17" s="29" t="s">
        <v>395</v>
      </c>
      <c r="T17" s="29" t="s">
        <v>63</v>
      </c>
      <c r="U17" s="29"/>
      <c r="BA17" s="62"/>
      <c r="BB17" s="63" t="s">
        <v>31</v>
      </c>
      <c r="BC17" s="2" t="s">
        <v>36</v>
      </c>
      <c r="BD17" s="26"/>
      <c r="BE17" s="25"/>
      <c r="BF17" s="19"/>
      <c r="BH17" s="62"/>
      <c r="BI17" s="63" t="s">
        <v>31</v>
      </c>
      <c r="BJ17" s="2" t="s">
        <v>36</v>
      </c>
      <c r="BK17" s="6"/>
      <c r="BL17" s="6"/>
      <c r="BM17" s="12"/>
    </row>
    <row r="18" spans="2:66" x14ac:dyDescent="0.3">
      <c r="B18" s="27" t="s">
        <v>56</v>
      </c>
      <c r="C18" s="28"/>
      <c r="D18" s="28"/>
      <c r="E18" s="28"/>
      <c r="F18" s="28" t="s">
        <v>46</v>
      </c>
      <c r="G18" s="28" t="s">
        <v>213</v>
      </c>
      <c r="H18" s="28" t="s">
        <v>55</v>
      </c>
      <c r="N18" s="29" t="s">
        <v>46</v>
      </c>
      <c r="O18" s="29" t="s">
        <v>70</v>
      </c>
      <c r="P18" s="29" t="s">
        <v>71</v>
      </c>
      <c r="Q18" s="29" t="s">
        <v>72</v>
      </c>
      <c r="BA18" s="62"/>
      <c r="BB18" s="63"/>
      <c r="BC18" s="2" t="s">
        <v>41</v>
      </c>
      <c r="BD18" s="26"/>
      <c r="BE18" s="25">
        <v>4</v>
      </c>
      <c r="BF18" s="19"/>
      <c r="BH18" s="62"/>
      <c r="BI18" s="63"/>
      <c r="BJ18" s="2" t="s">
        <v>41</v>
      </c>
      <c r="BK18" s="6"/>
      <c r="BL18" s="6">
        <v>1</v>
      </c>
      <c r="BM18" s="11"/>
    </row>
    <row r="19" spans="2:66" x14ac:dyDescent="0.3">
      <c r="B19" s="27" t="s">
        <v>57</v>
      </c>
      <c r="C19" s="28"/>
      <c r="D19" s="28"/>
      <c r="E19" s="28"/>
      <c r="F19" s="28" t="s">
        <v>47</v>
      </c>
      <c r="G19" s="28" t="s">
        <v>213</v>
      </c>
      <c r="H19" s="28" t="s">
        <v>55</v>
      </c>
      <c r="N19" s="29" t="s">
        <v>47</v>
      </c>
      <c r="O19" s="29" t="s">
        <v>70</v>
      </c>
      <c r="P19" s="29" t="s">
        <v>71</v>
      </c>
      <c r="Q19" s="29" t="s">
        <v>72</v>
      </c>
      <c r="BA19" s="62"/>
      <c r="BB19" s="63"/>
      <c r="BC19" s="2" t="s">
        <v>42</v>
      </c>
      <c r="BD19" s="25"/>
      <c r="BE19" s="25">
        <v>27</v>
      </c>
      <c r="BF19" s="19"/>
      <c r="BH19" s="62"/>
      <c r="BI19" s="63"/>
      <c r="BJ19" s="2" t="s">
        <v>42</v>
      </c>
      <c r="BK19" s="6"/>
      <c r="BL19" s="6"/>
      <c r="BM19" s="12"/>
    </row>
    <row r="20" spans="2:66" x14ac:dyDescent="0.3">
      <c r="B20" s="27" t="s">
        <v>58</v>
      </c>
      <c r="C20" s="28"/>
      <c r="D20" s="28"/>
      <c r="E20" s="28"/>
      <c r="F20" s="28" t="s">
        <v>48</v>
      </c>
      <c r="G20" s="28" t="s">
        <v>213</v>
      </c>
      <c r="H20" s="28" t="s">
        <v>55</v>
      </c>
      <c r="N20" s="29" t="s">
        <v>48</v>
      </c>
      <c r="O20" s="29" t="s">
        <v>70</v>
      </c>
      <c r="P20" s="29" t="s">
        <v>71</v>
      </c>
      <c r="Q20" s="29" t="s">
        <v>72</v>
      </c>
      <c r="BA20" s="62"/>
      <c r="BB20" s="63"/>
      <c r="BC20" s="2" t="s">
        <v>37</v>
      </c>
      <c r="BD20" s="26"/>
      <c r="BE20" s="25"/>
      <c r="BF20" s="19"/>
      <c r="BH20" s="62"/>
      <c r="BI20" s="63"/>
      <c r="BJ20" s="2" t="s">
        <v>37</v>
      </c>
      <c r="BK20" s="6"/>
      <c r="BL20" s="6"/>
      <c r="BM20" s="12"/>
    </row>
    <row r="21" spans="2:66" x14ac:dyDescent="0.3">
      <c r="B21" s="27" t="s">
        <v>59</v>
      </c>
      <c r="C21" s="28"/>
      <c r="D21" s="28"/>
      <c r="E21" s="28"/>
      <c r="F21" s="28" t="s">
        <v>49</v>
      </c>
      <c r="G21" s="28" t="s">
        <v>213</v>
      </c>
      <c r="H21" s="28" t="s">
        <v>55</v>
      </c>
      <c r="N21" s="29" t="s">
        <v>49</v>
      </c>
      <c r="O21" s="29" t="s">
        <v>70</v>
      </c>
      <c r="P21" s="29" t="s">
        <v>71</v>
      </c>
      <c r="Q21" s="29" t="s">
        <v>72</v>
      </c>
      <c r="BA21" s="62"/>
      <c r="BB21" s="63" t="s">
        <v>30</v>
      </c>
      <c r="BC21" s="2" t="s">
        <v>36</v>
      </c>
      <c r="BD21" s="26">
        <v>1</v>
      </c>
      <c r="BE21" s="25">
        <v>6</v>
      </c>
      <c r="BF21" s="19"/>
      <c r="BH21" s="62"/>
      <c r="BI21" s="63" t="s">
        <v>30</v>
      </c>
      <c r="BJ21" s="2" t="s">
        <v>36</v>
      </c>
      <c r="BK21" s="6">
        <v>7</v>
      </c>
      <c r="BL21" s="6"/>
      <c r="BM21" s="12"/>
    </row>
    <row r="22" spans="2:66" x14ac:dyDescent="0.3">
      <c r="B22" s="27" t="s">
        <v>7</v>
      </c>
      <c r="C22" s="28"/>
      <c r="D22" s="28"/>
      <c r="E22" s="28"/>
      <c r="F22" s="28" t="s">
        <v>50</v>
      </c>
      <c r="G22" s="28" t="s">
        <v>213</v>
      </c>
      <c r="H22" s="28" t="s">
        <v>55</v>
      </c>
      <c r="N22" s="29" t="s">
        <v>50</v>
      </c>
      <c r="O22" s="29" t="s">
        <v>70</v>
      </c>
      <c r="P22" s="29" t="s">
        <v>71</v>
      </c>
      <c r="Q22" s="29" t="s">
        <v>72</v>
      </c>
      <c r="BA22" s="62"/>
      <c r="BB22" s="63"/>
      <c r="BC22" s="2" t="s">
        <v>37</v>
      </c>
      <c r="BD22" s="26"/>
      <c r="BE22" s="25"/>
      <c r="BF22" s="20"/>
      <c r="BH22" s="62"/>
      <c r="BI22" s="63"/>
      <c r="BJ22" s="2" t="s">
        <v>37</v>
      </c>
      <c r="BK22" s="6"/>
      <c r="BL22" s="6"/>
      <c r="BM22" s="12"/>
    </row>
    <row r="23" spans="2:66" x14ac:dyDescent="0.3">
      <c r="B23" s="27" t="s">
        <v>9</v>
      </c>
      <c r="C23" s="28"/>
      <c r="D23" s="28"/>
      <c r="E23" s="28"/>
      <c r="F23" s="28" t="s">
        <v>51</v>
      </c>
      <c r="G23" s="28" t="s">
        <v>213</v>
      </c>
      <c r="H23" s="28" t="s">
        <v>55</v>
      </c>
      <c r="N23" s="29" t="s">
        <v>51</v>
      </c>
      <c r="O23" s="29" t="s">
        <v>70</v>
      </c>
      <c r="P23" s="29" t="s">
        <v>71</v>
      </c>
      <c r="Q23" s="29" t="s">
        <v>72</v>
      </c>
      <c r="BA23" s="62"/>
      <c r="BB23" s="2" t="s">
        <v>2</v>
      </c>
      <c r="BC23" s="2" t="s">
        <v>27</v>
      </c>
      <c r="BD23" s="26"/>
      <c r="BE23" s="25"/>
      <c r="BF23" s="19"/>
      <c r="BH23" s="62"/>
      <c r="BI23" s="2" t="s">
        <v>2</v>
      </c>
      <c r="BJ23" s="2" t="s">
        <v>27</v>
      </c>
      <c r="BK23" s="6"/>
      <c r="BL23" s="6"/>
      <c r="BM23" s="11"/>
    </row>
    <row r="24" spans="2:66" x14ac:dyDescent="0.3">
      <c r="B24" s="27" t="s">
        <v>60</v>
      </c>
      <c r="C24" s="28"/>
      <c r="D24" s="28"/>
      <c r="E24" s="28"/>
      <c r="F24" s="28" t="s">
        <v>52</v>
      </c>
      <c r="G24" s="28" t="s">
        <v>213</v>
      </c>
      <c r="H24" s="28" t="s">
        <v>55</v>
      </c>
      <c r="N24" s="29" t="s">
        <v>52</v>
      </c>
      <c r="O24" s="29" t="s">
        <v>70</v>
      </c>
      <c r="P24" s="29" t="s">
        <v>71</v>
      </c>
      <c r="Q24" s="29" t="s">
        <v>72</v>
      </c>
      <c r="BA24" s="62"/>
      <c r="BB24" s="2" t="s">
        <v>79</v>
      </c>
      <c r="BC24" s="2" t="s">
        <v>36</v>
      </c>
      <c r="BD24" s="26"/>
      <c r="BE24" s="25">
        <v>74</v>
      </c>
      <c r="BF24" s="19"/>
      <c r="BH24" s="62"/>
      <c r="BI24" s="2" t="s">
        <v>79</v>
      </c>
      <c r="BJ24" s="2" t="s">
        <v>36</v>
      </c>
      <c r="BK24" s="32"/>
      <c r="BL24" s="32"/>
      <c r="BM24" s="11"/>
    </row>
    <row r="25" spans="2:66" x14ac:dyDescent="0.3">
      <c r="B25" s="27" t="s">
        <v>11</v>
      </c>
      <c r="C25" s="28"/>
      <c r="D25" s="28"/>
      <c r="E25" s="28"/>
      <c r="F25" s="28" t="s">
        <v>53</v>
      </c>
      <c r="G25" s="28" t="s">
        <v>213</v>
      </c>
      <c r="H25" s="28" t="s">
        <v>55</v>
      </c>
      <c r="N25" s="29" t="s">
        <v>53</v>
      </c>
      <c r="O25" s="29" t="s">
        <v>70</v>
      </c>
      <c r="P25" s="29" t="s">
        <v>71</v>
      </c>
      <c r="Q25" s="29" t="s">
        <v>72</v>
      </c>
      <c r="BA25" s="62"/>
      <c r="BB25" s="2" t="s">
        <v>32</v>
      </c>
      <c r="BC25" s="2"/>
      <c r="BD25" s="21"/>
      <c r="BE25" s="21"/>
      <c r="BF25" s="19"/>
      <c r="BH25" s="62"/>
      <c r="BI25" s="2" t="s">
        <v>32</v>
      </c>
      <c r="BJ25" s="2"/>
      <c r="BK25" s="6"/>
      <c r="BL25" s="6"/>
      <c r="BM25" s="11"/>
      <c r="BN25" s="16"/>
    </row>
    <row r="26" spans="2:66" x14ac:dyDescent="0.3">
      <c r="B26" s="27" t="s">
        <v>11</v>
      </c>
      <c r="C26" s="28"/>
      <c r="D26" s="28"/>
      <c r="E26" s="28"/>
      <c r="F26" s="28" t="s">
        <v>78</v>
      </c>
      <c r="G26" s="28" t="s">
        <v>213</v>
      </c>
      <c r="H26" s="28" t="s">
        <v>55</v>
      </c>
      <c r="N26" s="29" t="s">
        <v>78</v>
      </c>
      <c r="O26" s="29" t="s">
        <v>70</v>
      </c>
      <c r="P26" s="29" t="s">
        <v>71</v>
      </c>
      <c r="Q26" s="29" t="s">
        <v>72</v>
      </c>
      <c r="BA26" s="53" t="s">
        <v>34</v>
      </c>
      <c r="BB26" s="13" t="s">
        <v>43</v>
      </c>
      <c r="BC26" s="13" t="s">
        <v>27</v>
      </c>
      <c r="BD26" s="56"/>
      <c r="BE26" s="57"/>
      <c r="BF26" s="14"/>
      <c r="BH26" s="53" t="s">
        <v>34</v>
      </c>
      <c r="BI26" s="13" t="s">
        <v>43</v>
      </c>
      <c r="BJ26" s="13" t="s">
        <v>27</v>
      </c>
      <c r="BK26" s="56"/>
      <c r="BL26" s="57"/>
      <c r="BM26" s="14"/>
    </row>
    <row r="27" spans="2:66" x14ac:dyDescent="0.3">
      <c r="B27" s="27" t="s">
        <v>11</v>
      </c>
      <c r="C27" s="28"/>
      <c r="D27" s="28"/>
      <c r="E27" s="28"/>
      <c r="F27" s="28" t="s">
        <v>54</v>
      </c>
      <c r="G27" s="28" t="s">
        <v>213</v>
      </c>
      <c r="H27" s="28" t="s">
        <v>55</v>
      </c>
      <c r="N27" s="29" t="s">
        <v>54</v>
      </c>
      <c r="O27" s="29" t="s">
        <v>70</v>
      </c>
      <c r="P27" s="29" t="s">
        <v>71</v>
      </c>
      <c r="Q27" s="29" t="s">
        <v>72</v>
      </c>
      <c r="BA27" s="54"/>
      <c r="BB27" s="38" t="s">
        <v>26</v>
      </c>
      <c r="BC27" s="13" t="s">
        <v>36</v>
      </c>
      <c r="BD27" s="56">
        <v>6</v>
      </c>
      <c r="BE27" s="57">
        <v>6</v>
      </c>
      <c r="BF27" s="14"/>
      <c r="BH27" s="54"/>
      <c r="BI27" s="38" t="s">
        <v>26</v>
      </c>
      <c r="BJ27" s="13" t="s">
        <v>36</v>
      </c>
      <c r="BK27" s="56">
        <v>2</v>
      </c>
      <c r="BL27" s="57">
        <v>20</v>
      </c>
      <c r="BM27" s="14"/>
    </row>
    <row r="28" spans="2:66" x14ac:dyDescent="0.3">
      <c r="B28" s="27" t="s">
        <v>3</v>
      </c>
      <c r="C28" s="28"/>
      <c r="D28" s="28"/>
      <c r="E28" s="28"/>
      <c r="F28" s="28" t="s">
        <v>45</v>
      </c>
      <c r="G28" s="28" t="s">
        <v>61</v>
      </c>
      <c r="H28" s="28" t="s">
        <v>62</v>
      </c>
      <c r="N28" s="29" t="s">
        <v>45</v>
      </c>
      <c r="O28" s="29" t="s">
        <v>73</v>
      </c>
      <c r="P28" s="29" t="s">
        <v>74</v>
      </c>
      <c r="Q28" s="29" t="s">
        <v>72</v>
      </c>
      <c r="BA28" s="54"/>
      <c r="BB28" s="39"/>
      <c r="BC28" s="13" t="s">
        <v>37</v>
      </c>
      <c r="BD28" s="56">
        <v>1</v>
      </c>
      <c r="BE28" s="57">
        <v>1</v>
      </c>
      <c r="BF28" s="14"/>
      <c r="BH28" s="54"/>
      <c r="BI28" s="39"/>
      <c r="BJ28" s="13" t="s">
        <v>37</v>
      </c>
      <c r="BK28" s="56">
        <v>18</v>
      </c>
      <c r="BL28" s="57">
        <v>58</v>
      </c>
      <c r="BM28" s="14"/>
    </row>
    <row r="29" spans="2:66" x14ac:dyDescent="0.3">
      <c r="B29" s="27" t="s">
        <v>56</v>
      </c>
      <c r="C29" s="28"/>
      <c r="D29" s="28"/>
      <c r="E29" s="28"/>
      <c r="F29" s="28" t="s">
        <v>46</v>
      </c>
      <c r="G29" s="28" t="s">
        <v>61</v>
      </c>
      <c r="H29" s="28" t="s">
        <v>62</v>
      </c>
      <c r="N29" s="29" t="s">
        <v>46</v>
      </c>
      <c r="O29" s="29" t="s">
        <v>73</v>
      </c>
      <c r="P29" s="29" t="s">
        <v>74</v>
      </c>
      <c r="Q29" s="29" t="s">
        <v>72</v>
      </c>
      <c r="BA29" s="54"/>
      <c r="BB29" s="37" t="s">
        <v>31</v>
      </c>
      <c r="BC29" s="13" t="s">
        <v>36</v>
      </c>
      <c r="BD29" s="56"/>
      <c r="BE29" s="57"/>
      <c r="BF29" s="14"/>
      <c r="BH29" s="54"/>
      <c r="BI29" s="37" t="s">
        <v>31</v>
      </c>
      <c r="BJ29" s="13" t="s">
        <v>36</v>
      </c>
      <c r="BK29" s="56">
        <v>1</v>
      </c>
      <c r="BL29" s="57">
        <v>1</v>
      </c>
      <c r="BM29" s="14"/>
    </row>
    <row r="30" spans="2:66" x14ac:dyDescent="0.3">
      <c r="B30" s="27" t="s">
        <v>57</v>
      </c>
      <c r="C30" s="28"/>
      <c r="D30" s="28"/>
      <c r="E30" s="28"/>
      <c r="F30" s="28" t="s">
        <v>47</v>
      </c>
      <c r="G30" s="28" t="s">
        <v>61</v>
      </c>
      <c r="H30" s="28" t="s">
        <v>62</v>
      </c>
      <c r="N30" s="29" t="s">
        <v>47</v>
      </c>
      <c r="O30" s="29" t="s">
        <v>73</v>
      </c>
      <c r="P30" s="29" t="s">
        <v>74</v>
      </c>
      <c r="Q30" s="29" t="s">
        <v>72</v>
      </c>
      <c r="BA30" s="54"/>
      <c r="BB30" s="37"/>
      <c r="BC30" s="13" t="s">
        <v>41</v>
      </c>
      <c r="BD30" s="56"/>
      <c r="BE30" s="57"/>
      <c r="BF30" s="14"/>
      <c r="BH30" s="54"/>
      <c r="BI30" s="37"/>
      <c r="BJ30" s="13" t="s">
        <v>41</v>
      </c>
      <c r="BK30" s="56"/>
      <c r="BL30" s="57"/>
      <c r="BM30" s="14"/>
    </row>
    <row r="31" spans="2:66" x14ac:dyDescent="0.3">
      <c r="B31" s="27" t="s">
        <v>58</v>
      </c>
      <c r="C31" s="28"/>
      <c r="D31" s="28"/>
      <c r="E31" s="28"/>
      <c r="F31" s="28" t="s">
        <v>48</v>
      </c>
      <c r="G31" s="28" t="s">
        <v>61</v>
      </c>
      <c r="H31" s="28" t="s">
        <v>62</v>
      </c>
      <c r="N31" s="29" t="s">
        <v>48</v>
      </c>
      <c r="O31" s="29" t="s">
        <v>73</v>
      </c>
      <c r="P31" s="29" t="s">
        <v>74</v>
      </c>
      <c r="Q31" s="29" t="s">
        <v>72</v>
      </c>
      <c r="BA31" s="54"/>
      <c r="BB31" s="37"/>
      <c r="BC31" s="13" t="s">
        <v>42</v>
      </c>
      <c r="BD31" s="56"/>
      <c r="BE31" s="57"/>
      <c r="BF31" s="14"/>
      <c r="BH31" s="54"/>
      <c r="BI31" s="37"/>
      <c r="BJ31" s="13" t="s">
        <v>42</v>
      </c>
      <c r="BK31" s="56"/>
      <c r="BL31" s="57"/>
      <c r="BM31" s="14"/>
    </row>
    <row r="32" spans="2:66" x14ac:dyDescent="0.3">
      <c r="B32" s="27" t="s">
        <v>59</v>
      </c>
      <c r="C32" s="28"/>
      <c r="D32" s="28"/>
      <c r="E32" s="28"/>
      <c r="F32" s="28" t="s">
        <v>49</v>
      </c>
      <c r="G32" s="28" t="s">
        <v>61</v>
      </c>
      <c r="H32" s="28" t="s">
        <v>62</v>
      </c>
      <c r="N32" s="29" t="s">
        <v>49</v>
      </c>
      <c r="O32" s="29" t="s">
        <v>73</v>
      </c>
      <c r="P32" s="29" t="s">
        <v>74</v>
      </c>
      <c r="Q32" s="29" t="s">
        <v>72</v>
      </c>
      <c r="BA32" s="54"/>
      <c r="BB32" s="37"/>
      <c r="BC32" s="13" t="s">
        <v>37</v>
      </c>
      <c r="BD32" s="56"/>
      <c r="BE32" s="57"/>
      <c r="BF32" s="14"/>
      <c r="BG32" s="1"/>
      <c r="BH32" s="54"/>
      <c r="BI32" s="37"/>
      <c r="BJ32" s="13" t="s">
        <v>37</v>
      </c>
      <c r="BK32" s="56"/>
      <c r="BL32" s="57"/>
      <c r="BM32" s="14"/>
    </row>
    <row r="33" spans="2:65" x14ac:dyDescent="0.3">
      <c r="B33" s="27" t="s">
        <v>7</v>
      </c>
      <c r="C33" s="28"/>
      <c r="D33" s="28"/>
      <c r="E33" s="28"/>
      <c r="F33" s="28" t="s">
        <v>50</v>
      </c>
      <c r="G33" s="28" t="s">
        <v>61</v>
      </c>
      <c r="H33" s="28" t="s">
        <v>62</v>
      </c>
      <c r="N33" s="29" t="s">
        <v>50</v>
      </c>
      <c r="O33" s="29" t="s">
        <v>73</v>
      </c>
      <c r="P33" s="29" t="s">
        <v>74</v>
      </c>
      <c r="Q33" s="29" t="s">
        <v>72</v>
      </c>
      <c r="BA33" s="54"/>
      <c r="BB33" s="37" t="s">
        <v>30</v>
      </c>
      <c r="BC33" s="13" t="s">
        <v>36</v>
      </c>
      <c r="BD33" s="56">
        <v>5</v>
      </c>
      <c r="BE33" s="57">
        <v>5</v>
      </c>
      <c r="BF33" s="14"/>
      <c r="BH33" s="54"/>
      <c r="BI33" s="37" t="s">
        <v>30</v>
      </c>
      <c r="BJ33" s="13" t="s">
        <v>36</v>
      </c>
      <c r="BK33" s="56">
        <v>83</v>
      </c>
      <c r="BL33" s="57">
        <v>154</v>
      </c>
      <c r="BM33" s="15"/>
    </row>
    <row r="34" spans="2:65" x14ac:dyDescent="0.3">
      <c r="B34" s="27" t="s">
        <v>9</v>
      </c>
      <c r="C34" s="28"/>
      <c r="D34" s="28"/>
      <c r="E34" s="28"/>
      <c r="F34" s="28" t="s">
        <v>51</v>
      </c>
      <c r="G34" s="28" t="s">
        <v>61</v>
      </c>
      <c r="H34" s="28" t="s">
        <v>62</v>
      </c>
      <c r="N34" s="29" t="s">
        <v>51</v>
      </c>
      <c r="O34" s="29" t="s">
        <v>73</v>
      </c>
      <c r="P34" s="29" t="s">
        <v>74</v>
      </c>
      <c r="Q34" s="29" t="s">
        <v>72</v>
      </c>
      <c r="BA34" s="54"/>
      <c r="BB34" s="37"/>
      <c r="BC34" s="13" t="s">
        <v>37</v>
      </c>
      <c r="BD34" s="56"/>
      <c r="BE34" s="57"/>
      <c r="BF34" s="15"/>
      <c r="BH34" s="54"/>
      <c r="BI34" s="37"/>
      <c r="BJ34" s="13" t="s">
        <v>37</v>
      </c>
      <c r="BK34" s="56"/>
      <c r="BL34" s="57"/>
      <c r="BM34" s="14"/>
    </row>
    <row r="35" spans="2:65" x14ac:dyDescent="0.3">
      <c r="B35" s="27" t="s">
        <v>60</v>
      </c>
      <c r="C35" s="28"/>
      <c r="D35" s="28"/>
      <c r="E35" s="28"/>
      <c r="F35" s="28" t="s">
        <v>52</v>
      </c>
      <c r="G35" s="28" t="s">
        <v>61</v>
      </c>
      <c r="H35" s="28" t="s">
        <v>62</v>
      </c>
      <c r="N35" s="29" t="s">
        <v>52</v>
      </c>
      <c r="O35" s="29" t="s">
        <v>73</v>
      </c>
      <c r="P35" s="29" t="s">
        <v>74</v>
      </c>
      <c r="Q35" s="29" t="s">
        <v>72</v>
      </c>
      <c r="BA35" s="54"/>
      <c r="BB35" s="33" t="s">
        <v>79</v>
      </c>
      <c r="BC35" s="13" t="s">
        <v>27</v>
      </c>
      <c r="BD35" s="56"/>
      <c r="BE35" s="57"/>
      <c r="BF35" s="14"/>
      <c r="BH35" s="54"/>
      <c r="BI35" s="33" t="s">
        <v>79</v>
      </c>
      <c r="BJ35" s="13" t="s">
        <v>27</v>
      </c>
      <c r="BK35" s="56"/>
      <c r="BL35" s="57"/>
      <c r="BM35" s="14"/>
    </row>
    <row r="36" spans="2:65" x14ac:dyDescent="0.3">
      <c r="B36" s="27" t="s">
        <v>11</v>
      </c>
      <c r="C36" s="28"/>
      <c r="D36" s="28"/>
      <c r="E36" s="28"/>
      <c r="F36" s="28" t="s">
        <v>53</v>
      </c>
      <c r="G36" s="28" t="s">
        <v>61</v>
      </c>
      <c r="H36" s="28" t="s">
        <v>62</v>
      </c>
      <c r="N36" s="29" t="s">
        <v>53</v>
      </c>
      <c r="O36" s="29" t="s">
        <v>73</v>
      </c>
      <c r="P36" s="29" t="s">
        <v>74</v>
      </c>
      <c r="Q36" s="29" t="s">
        <v>72</v>
      </c>
      <c r="BA36" s="54"/>
      <c r="BB36" s="13" t="s">
        <v>2</v>
      </c>
      <c r="BC36" s="13" t="s">
        <v>36</v>
      </c>
      <c r="BD36" s="56">
        <v>2</v>
      </c>
      <c r="BE36" s="57">
        <v>2</v>
      </c>
      <c r="BF36" s="14"/>
      <c r="BH36" s="54"/>
      <c r="BI36" s="13" t="s">
        <v>2</v>
      </c>
      <c r="BJ36" s="33" t="s">
        <v>36</v>
      </c>
      <c r="BK36" s="56">
        <v>1</v>
      </c>
      <c r="BL36" s="57">
        <v>1</v>
      </c>
      <c r="BM36" s="36"/>
    </row>
    <row r="37" spans="2:65" ht="15" thickBot="1" x14ac:dyDescent="0.35">
      <c r="B37" s="27" t="s">
        <v>11</v>
      </c>
      <c r="C37" s="28"/>
      <c r="D37" s="28"/>
      <c r="E37" s="28"/>
      <c r="F37" s="28" t="s">
        <v>54</v>
      </c>
      <c r="G37" s="28" t="s">
        <v>61</v>
      </c>
      <c r="H37" s="28" t="s">
        <v>62</v>
      </c>
      <c r="N37" s="29" t="s">
        <v>54</v>
      </c>
      <c r="O37" s="29" t="s">
        <v>73</v>
      </c>
      <c r="P37" s="29" t="s">
        <v>74</v>
      </c>
      <c r="Q37" s="29" t="s">
        <v>72</v>
      </c>
      <c r="BA37" s="55"/>
      <c r="BB37" s="13" t="s">
        <v>32</v>
      </c>
      <c r="BC37" s="13"/>
      <c r="BD37" s="56"/>
      <c r="BE37" s="57"/>
      <c r="BF37" s="14"/>
      <c r="BH37" s="55"/>
      <c r="BI37" s="17" t="s">
        <v>32</v>
      </c>
      <c r="BJ37" s="17"/>
      <c r="BK37" s="59"/>
      <c r="BL37" s="59"/>
      <c r="BM37" s="18"/>
    </row>
    <row r="38" spans="2:65" ht="15" thickBot="1" x14ac:dyDescent="0.35">
      <c r="B38" s="27" t="s">
        <v>11</v>
      </c>
      <c r="C38" s="28"/>
      <c r="D38" s="28"/>
      <c r="E38" s="28"/>
      <c r="F38" s="28" t="s">
        <v>78</v>
      </c>
      <c r="G38" s="28" t="s">
        <v>61</v>
      </c>
      <c r="H38" s="28" t="s">
        <v>62</v>
      </c>
      <c r="N38" s="29" t="s">
        <v>78</v>
      </c>
      <c r="O38" s="29" t="s">
        <v>73</v>
      </c>
      <c r="P38" s="29" t="s">
        <v>74</v>
      </c>
      <c r="Q38" s="29" t="s">
        <v>72</v>
      </c>
      <c r="BA38" s="98" t="s">
        <v>69</v>
      </c>
      <c r="BB38" s="99"/>
      <c r="BC38" s="99"/>
      <c r="BD38" s="58"/>
      <c r="BE38" s="58"/>
      <c r="BF38" s="5"/>
      <c r="BH38" s="98" t="s">
        <v>64</v>
      </c>
      <c r="BI38" s="99"/>
      <c r="BJ38" s="99"/>
      <c r="BK38" s="58"/>
      <c r="BL38" s="58"/>
      <c r="BM38" s="5"/>
    </row>
    <row r="39" spans="2:65" x14ac:dyDescent="0.3">
      <c r="N39" s="29" t="s">
        <v>78</v>
      </c>
      <c r="O39" s="29" t="s">
        <v>75</v>
      </c>
      <c r="P39" s="29" t="s">
        <v>76</v>
      </c>
      <c r="Q39" s="29" t="s">
        <v>72</v>
      </c>
    </row>
    <row r="40" spans="2:65" x14ac:dyDescent="0.3">
      <c r="N40" s="29" t="s">
        <v>46</v>
      </c>
      <c r="O40" s="29" t="s">
        <v>75</v>
      </c>
      <c r="P40" s="29" t="s">
        <v>76</v>
      </c>
      <c r="Q40" s="29" t="s">
        <v>72</v>
      </c>
    </row>
    <row r="41" spans="2:65" s="34" customFormat="1" x14ac:dyDescent="0.3">
      <c r="B41" s="35"/>
      <c r="N41" s="29" t="s">
        <v>47</v>
      </c>
      <c r="O41" s="29" t="s">
        <v>75</v>
      </c>
      <c r="P41" s="29" t="s">
        <v>76</v>
      </c>
      <c r="Q41" s="29" t="s">
        <v>72</v>
      </c>
    </row>
    <row r="42" spans="2:65" x14ac:dyDescent="0.3">
      <c r="B42" s="46" t="s">
        <v>222</v>
      </c>
      <c r="C42" s="46"/>
      <c r="D42" s="47" t="s">
        <v>3</v>
      </c>
      <c r="E42" s="46"/>
      <c r="F42" s="46"/>
      <c r="G42" s="46"/>
      <c r="H42" s="46" t="s">
        <v>45</v>
      </c>
      <c r="J42" s="46" t="s">
        <v>390</v>
      </c>
      <c r="N42" s="29" t="s">
        <v>48</v>
      </c>
      <c r="O42" s="29" t="s">
        <v>75</v>
      </c>
      <c r="P42" s="29" t="s">
        <v>76</v>
      </c>
      <c r="Q42" s="29" t="s">
        <v>72</v>
      </c>
    </row>
    <row r="43" spans="2:65" x14ac:dyDescent="0.3">
      <c r="B43" s="46" t="s">
        <v>222</v>
      </c>
      <c r="C43" s="46"/>
      <c r="D43" s="47" t="s">
        <v>56</v>
      </c>
      <c r="E43" s="46"/>
      <c r="F43" s="46"/>
      <c r="G43" s="46"/>
      <c r="H43" s="46" t="s">
        <v>46</v>
      </c>
      <c r="J43" t="s">
        <v>435</v>
      </c>
      <c r="N43" s="29" t="s">
        <v>49</v>
      </c>
      <c r="O43" s="29" t="s">
        <v>75</v>
      </c>
      <c r="P43" s="29" t="s">
        <v>76</v>
      </c>
      <c r="Q43" s="29" t="s">
        <v>72</v>
      </c>
    </row>
    <row r="44" spans="2:65" x14ac:dyDescent="0.3">
      <c r="B44" s="46" t="s">
        <v>222</v>
      </c>
      <c r="C44" s="46"/>
      <c r="D44" s="47" t="s">
        <v>57</v>
      </c>
      <c r="E44" s="46"/>
      <c r="F44" s="46"/>
      <c r="G44" s="46"/>
      <c r="H44" s="46" t="s">
        <v>47</v>
      </c>
      <c r="N44" s="29" t="s">
        <v>50</v>
      </c>
      <c r="O44" s="29" t="s">
        <v>75</v>
      </c>
      <c r="P44" s="29" t="s">
        <v>76</v>
      </c>
      <c r="Q44" s="29" t="s">
        <v>72</v>
      </c>
    </row>
    <row r="45" spans="2:65" x14ac:dyDescent="0.3">
      <c r="B45" s="46" t="s">
        <v>222</v>
      </c>
      <c r="C45" s="46"/>
      <c r="D45" s="47" t="s">
        <v>58</v>
      </c>
      <c r="E45" s="46"/>
      <c r="F45" s="46"/>
      <c r="G45" s="46"/>
      <c r="H45" s="46" t="s">
        <v>48</v>
      </c>
      <c r="N45" s="29" t="s">
        <v>51</v>
      </c>
      <c r="O45" s="29" t="s">
        <v>75</v>
      </c>
      <c r="P45" s="29" t="s">
        <v>76</v>
      </c>
      <c r="Q45" s="29" t="s">
        <v>72</v>
      </c>
    </row>
    <row r="46" spans="2:65" x14ac:dyDescent="0.3">
      <c r="B46" s="46" t="s">
        <v>222</v>
      </c>
      <c r="C46" s="46"/>
      <c r="D46" s="47" t="s">
        <v>59</v>
      </c>
      <c r="E46" s="46"/>
      <c r="F46" s="46"/>
      <c r="G46" s="46"/>
      <c r="H46" s="46" t="s">
        <v>49</v>
      </c>
      <c r="N46" s="29" t="s">
        <v>52</v>
      </c>
      <c r="O46" s="29" t="s">
        <v>75</v>
      </c>
      <c r="P46" s="29" t="s">
        <v>76</v>
      </c>
      <c r="Q46" s="29" t="s">
        <v>72</v>
      </c>
    </row>
    <row r="47" spans="2:65" x14ac:dyDescent="0.3">
      <c r="B47" s="46" t="s">
        <v>222</v>
      </c>
      <c r="C47" s="46"/>
      <c r="D47" s="47" t="s">
        <v>7</v>
      </c>
      <c r="E47" s="46"/>
      <c r="F47" s="46"/>
      <c r="G47" s="46"/>
      <c r="H47" s="46" t="s">
        <v>50</v>
      </c>
      <c r="N47" s="29" t="s">
        <v>53</v>
      </c>
      <c r="O47" s="29" t="s">
        <v>75</v>
      </c>
      <c r="P47" s="29" t="s">
        <v>76</v>
      </c>
      <c r="Q47" s="29" t="s">
        <v>72</v>
      </c>
    </row>
    <row r="48" spans="2:65" x14ac:dyDescent="0.3">
      <c r="B48" s="46" t="s">
        <v>222</v>
      </c>
      <c r="C48" s="46"/>
      <c r="D48" s="47" t="s">
        <v>9</v>
      </c>
      <c r="E48" s="46"/>
      <c r="F48" s="46"/>
      <c r="G48" s="46"/>
      <c r="H48" s="46" t="s">
        <v>51</v>
      </c>
      <c r="N48" s="29" t="s">
        <v>54</v>
      </c>
      <c r="O48" s="29" t="s">
        <v>75</v>
      </c>
      <c r="P48" s="29" t="s">
        <v>76</v>
      </c>
      <c r="Q48" s="29" t="s">
        <v>72</v>
      </c>
    </row>
    <row r="49" spans="2:17" x14ac:dyDescent="0.3">
      <c r="B49" s="46" t="s">
        <v>222</v>
      </c>
      <c r="C49" s="46"/>
      <c r="D49" s="47" t="s">
        <v>60</v>
      </c>
      <c r="E49" s="46"/>
      <c r="F49" s="46"/>
      <c r="G49" s="46"/>
      <c r="H49" s="46" t="s">
        <v>52</v>
      </c>
      <c r="N49" s="29" t="s">
        <v>45</v>
      </c>
      <c r="O49" s="29" t="s">
        <v>75</v>
      </c>
      <c r="P49" s="29" t="s">
        <v>76</v>
      </c>
      <c r="Q49" s="29" t="s">
        <v>72</v>
      </c>
    </row>
    <row r="50" spans="2:17" x14ac:dyDescent="0.3">
      <c r="B50" s="46" t="s">
        <v>222</v>
      </c>
      <c r="C50" s="46"/>
      <c r="D50" s="47" t="s">
        <v>11</v>
      </c>
      <c r="E50" s="46"/>
      <c r="F50" s="46"/>
      <c r="G50" s="46"/>
      <c r="H50" s="46" t="s">
        <v>53</v>
      </c>
    </row>
    <row r="51" spans="2:17" x14ac:dyDescent="0.3">
      <c r="B51" s="46" t="s">
        <v>222</v>
      </c>
      <c r="C51" s="46"/>
      <c r="D51" s="47" t="s">
        <v>11</v>
      </c>
      <c r="E51" s="46"/>
      <c r="F51" s="46"/>
      <c r="G51" s="46"/>
      <c r="H51" s="46" t="s">
        <v>78</v>
      </c>
    </row>
    <row r="52" spans="2:17" x14ac:dyDescent="0.3">
      <c r="B52" s="46" t="s">
        <v>222</v>
      </c>
      <c r="C52" s="46"/>
      <c r="D52" s="47" t="s">
        <v>11</v>
      </c>
      <c r="E52" s="46"/>
      <c r="F52" s="46"/>
      <c r="G52" s="46"/>
      <c r="H52" s="46" t="s">
        <v>54</v>
      </c>
    </row>
    <row r="53" spans="2:17" x14ac:dyDescent="0.3">
      <c r="B53" s="46" t="s">
        <v>30</v>
      </c>
      <c r="C53" s="46"/>
      <c r="D53" s="47" t="s">
        <v>3</v>
      </c>
      <c r="E53" s="46"/>
      <c r="F53" s="46"/>
      <c r="G53" s="46"/>
      <c r="H53" s="46" t="s">
        <v>45</v>
      </c>
    </row>
    <row r="54" spans="2:17" x14ac:dyDescent="0.3">
      <c r="B54" s="46" t="s">
        <v>30</v>
      </c>
      <c r="C54" s="46"/>
      <c r="D54" s="47" t="s">
        <v>56</v>
      </c>
      <c r="E54" s="46"/>
      <c r="F54" s="46"/>
      <c r="G54" s="46"/>
      <c r="H54" s="46" t="s">
        <v>46</v>
      </c>
    </row>
    <row r="55" spans="2:17" x14ac:dyDescent="0.3">
      <c r="B55" s="46" t="s">
        <v>30</v>
      </c>
      <c r="C55" s="46"/>
      <c r="D55" s="47" t="s">
        <v>57</v>
      </c>
      <c r="E55" s="46"/>
      <c r="F55" s="46"/>
      <c r="G55" s="46"/>
      <c r="H55" s="46" t="s">
        <v>47</v>
      </c>
    </row>
    <row r="56" spans="2:17" x14ac:dyDescent="0.3">
      <c r="B56" s="46" t="s">
        <v>30</v>
      </c>
      <c r="C56" s="46"/>
      <c r="D56" s="47" t="s">
        <v>58</v>
      </c>
      <c r="E56" s="46"/>
      <c r="F56" s="46"/>
      <c r="G56" s="46"/>
      <c r="H56" s="46" t="s">
        <v>48</v>
      </c>
    </row>
    <row r="57" spans="2:17" x14ac:dyDescent="0.3">
      <c r="B57" s="46" t="s">
        <v>30</v>
      </c>
      <c r="C57" s="46"/>
      <c r="D57" s="47" t="s">
        <v>59</v>
      </c>
      <c r="E57" s="46"/>
      <c r="F57" s="46"/>
      <c r="G57" s="46"/>
      <c r="H57" s="46" t="s">
        <v>49</v>
      </c>
    </row>
    <row r="58" spans="2:17" x14ac:dyDescent="0.3">
      <c r="B58" s="46" t="s">
        <v>30</v>
      </c>
      <c r="C58" s="46"/>
      <c r="D58" s="47" t="s">
        <v>7</v>
      </c>
      <c r="E58" s="46"/>
      <c r="F58" s="46"/>
      <c r="G58" s="46"/>
      <c r="H58" s="46" t="s">
        <v>50</v>
      </c>
    </row>
    <row r="59" spans="2:17" x14ac:dyDescent="0.3">
      <c r="B59" s="46" t="s">
        <v>30</v>
      </c>
      <c r="C59" s="46"/>
      <c r="D59" s="47" t="s">
        <v>9</v>
      </c>
      <c r="E59" s="46"/>
      <c r="F59" s="46"/>
      <c r="G59" s="46"/>
      <c r="H59" s="46" t="s">
        <v>51</v>
      </c>
    </row>
    <row r="60" spans="2:17" x14ac:dyDescent="0.3">
      <c r="B60" s="46" t="s">
        <v>30</v>
      </c>
      <c r="C60" s="46"/>
      <c r="D60" s="47" t="s">
        <v>60</v>
      </c>
      <c r="E60" s="46"/>
      <c r="F60" s="46"/>
      <c r="G60" s="46"/>
      <c r="H60" s="46" t="s">
        <v>52</v>
      </c>
    </row>
    <row r="61" spans="2:17" x14ac:dyDescent="0.3">
      <c r="B61" s="46" t="s">
        <v>30</v>
      </c>
      <c r="C61" s="46"/>
      <c r="D61" s="47" t="s">
        <v>11</v>
      </c>
      <c r="E61" s="46"/>
      <c r="F61" s="46"/>
      <c r="G61" s="46"/>
      <c r="H61" s="46" t="s">
        <v>53</v>
      </c>
    </row>
    <row r="62" spans="2:17" x14ac:dyDescent="0.3">
      <c r="B62" s="46" t="s">
        <v>30</v>
      </c>
      <c r="C62" s="46"/>
      <c r="D62" s="47" t="s">
        <v>11</v>
      </c>
      <c r="E62" s="46"/>
      <c r="F62" s="46"/>
      <c r="G62" s="46"/>
      <c r="H62" s="46" t="s">
        <v>54</v>
      </c>
    </row>
    <row r="63" spans="2:17" x14ac:dyDescent="0.3">
      <c r="B63" s="46" t="s">
        <v>30</v>
      </c>
      <c r="C63" s="46"/>
      <c r="D63" s="47" t="s">
        <v>11</v>
      </c>
      <c r="E63" s="46"/>
      <c r="F63" s="46"/>
      <c r="G63" s="46"/>
      <c r="H63" s="46" t="s">
        <v>78</v>
      </c>
    </row>
  </sheetData>
  <mergeCells count="81">
    <mergeCell ref="B12:Y12"/>
    <mergeCell ref="Z12:AW12"/>
    <mergeCell ref="BA38:BC38"/>
    <mergeCell ref="BD38:BE38"/>
    <mergeCell ref="BH38:BJ38"/>
    <mergeCell ref="BA2:BA13"/>
    <mergeCell ref="BA14:BA25"/>
    <mergeCell ref="B13:Y13"/>
    <mergeCell ref="J2:K2"/>
    <mergeCell ref="L2:M2"/>
    <mergeCell ref="N2:O2"/>
    <mergeCell ref="BB21:BB22"/>
    <mergeCell ref="BB2:BB3"/>
    <mergeCell ref="BD26:BE26"/>
    <mergeCell ref="BB15:BB16"/>
    <mergeCell ref="BB17:BB20"/>
    <mergeCell ref="BB5:BB8"/>
    <mergeCell ref="BB9:BB10"/>
    <mergeCell ref="A1:A2"/>
    <mergeCell ref="B2:C2"/>
    <mergeCell ref="D2:E2"/>
    <mergeCell ref="F2:G2"/>
    <mergeCell ref="H2:I2"/>
    <mergeCell ref="X2:Y2"/>
    <mergeCell ref="B1:Y1"/>
    <mergeCell ref="V2:W2"/>
    <mergeCell ref="R2:S2"/>
    <mergeCell ref="P2:Q2"/>
    <mergeCell ref="T2:U2"/>
    <mergeCell ref="AT2:AU2"/>
    <mergeCell ref="AV2:AW2"/>
    <mergeCell ref="Z1:AW1"/>
    <mergeCell ref="BK1:BL1"/>
    <mergeCell ref="BI2:BI3"/>
    <mergeCell ref="BD29:BE29"/>
    <mergeCell ref="BD30:BE30"/>
    <mergeCell ref="BF2:BF13"/>
    <mergeCell ref="BK26:BL26"/>
    <mergeCell ref="BD1:BE1"/>
    <mergeCell ref="Z13:AW13"/>
    <mergeCell ref="AP2:AQ2"/>
    <mergeCell ref="Z2:AA2"/>
    <mergeCell ref="AB2:AC2"/>
    <mergeCell ref="AD2:AE2"/>
    <mergeCell ref="AF2:AG2"/>
    <mergeCell ref="AH2:AI2"/>
    <mergeCell ref="AJ2:AK2"/>
    <mergeCell ref="AL2:AM2"/>
    <mergeCell ref="AN2:AO2"/>
    <mergeCell ref="AR2:AS2"/>
    <mergeCell ref="BM2:BM13"/>
    <mergeCell ref="BI5:BI8"/>
    <mergeCell ref="BI9:BI10"/>
    <mergeCell ref="BH14:BH25"/>
    <mergeCell ref="BI17:BI20"/>
    <mergeCell ref="BI21:BI22"/>
    <mergeCell ref="BH2:BH13"/>
    <mergeCell ref="BI15:BI16"/>
    <mergeCell ref="BK38:BL38"/>
    <mergeCell ref="BK37:BL37"/>
    <mergeCell ref="BK28:BL28"/>
    <mergeCell ref="BK36:BL36"/>
    <mergeCell ref="BK35:BL35"/>
    <mergeCell ref="BK29:BL29"/>
    <mergeCell ref="BK30:BL30"/>
    <mergeCell ref="BK31:BL31"/>
    <mergeCell ref="BA26:BA37"/>
    <mergeCell ref="BH26:BH37"/>
    <mergeCell ref="BK27:BL27"/>
    <mergeCell ref="BK32:BL32"/>
    <mergeCell ref="BK33:BL33"/>
    <mergeCell ref="BK34:BL34"/>
    <mergeCell ref="BD28:BE28"/>
    <mergeCell ref="BD27:BE27"/>
    <mergeCell ref="BD32:BE32"/>
    <mergeCell ref="BD33:BE33"/>
    <mergeCell ref="BD34:BE34"/>
    <mergeCell ref="BD35:BE35"/>
    <mergeCell ref="BD36:BE36"/>
    <mergeCell ref="BD37:BE37"/>
    <mergeCell ref="BD31:BE3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DD2A-5A71-4B29-9C74-B496FB30B45D}">
  <dimension ref="A2:AJ25"/>
  <sheetViews>
    <sheetView workbookViewId="0"/>
  </sheetViews>
  <sheetFormatPr defaultRowHeight="14.4" x14ac:dyDescent="0.3"/>
  <cols>
    <col min="1" max="1" width="31.109375" bestFit="1" customWidth="1"/>
    <col min="2" max="2" width="18.33203125" bestFit="1" customWidth="1"/>
    <col min="3" max="4" width="10.77734375" bestFit="1" customWidth="1"/>
    <col min="5" max="5" width="14.33203125" bestFit="1" customWidth="1"/>
    <col min="6" max="6" width="22.77734375" bestFit="1" customWidth="1"/>
    <col min="7" max="7" width="21.5546875" bestFit="1" customWidth="1"/>
    <col min="8" max="8" width="14.33203125" bestFit="1" customWidth="1"/>
    <col min="9" max="10" width="11.6640625" bestFit="1" customWidth="1"/>
    <col min="11" max="11" width="31.88671875" bestFit="1" customWidth="1"/>
    <col min="12" max="12" width="12.6640625" bestFit="1" customWidth="1"/>
    <col min="13" max="13" width="10.77734375" bestFit="1" customWidth="1"/>
  </cols>
  <sheetData>
    <row r="2" spans="1:36" x14ac:dyDescent="0.3">
      <c r="O2" s="52"/>
      <c r="P2" s="52"/>
      <c r="Q2" s="52"/>
      <c r="R2" s="52"/>
      <c r="S2" s="52"/>
      <c r="T2" s="52"/>
      <c r="U2" s="52"/>
      <c r="V2" s="52">
        <v>1</v>
      </c>
      <c r="W2" s="52"/>
      <c r="X2" s="52"/>
      <c r="Y2" s="52"/>
      <c r="Z2" s="52"/>
      <c r="AA2" s="52"/>
      <c r="AB2" s="52"/>
      <c r="AC2" s="52"/>
      <c r="AD2" s="52">
        <v>8</v>
      </c>
      <c r="AE2" s="52"/>
      <c r="AF2" s="52"/>
      <c r="AG2" s="52"/>
      <c r="AH2" s="52"/>
      <c r="AI2" s="52"/>
      <c r="AJ2" s="52"/>
    </row>
    <row r="3" spans="1:36" x14ac:dyDescent="0.3">
      <c r="A3" s="48" t="s">
        <v>394</v>
      </c>
      <c r="B3" s="48" t="s">
        <v>393</v>
      </c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>
        <v>20</v>
      </c>
      <c r="AE3" s="52"/>
      <c r="AF3" s="52"/>
      <c r="AG3" s="52"/>
      <c r="AH3" s="52"/>
      <c r="AI3" s="52">
        <v>8</v>
      </c>
      <c r="AJ3" s="52"/>
    </row>
    <row r="4" spans="1:36" x14ac:dyDescent="0.3">
      <c r="A4" s="48" t="s">
        <v>391</v>
      </c>
      <c r="B4" t="s">
        <v>47</v>
      </c>
      <c r="C4" t="s">
        <v>45</v>
      </c>
      <c r="D4" t="s">
        <v>46</v>
      </c>
      <c r="E4" t="s">
        <v>48</v>
      </c>
      <c r="F4" t="s">
        <v>49</v>
      </c>
      <c r="G4" t="s">
        <v>50</v>
      </c>
      <c r="H4" t="s">
        <v>51</v>
      </c>
      <c r="I4" t="s">
        <v>52</v>
      </c>
      <c r="J4" t="s">
        <v>53</v>
      </c>
      <c r="K4" t="s">
        <v>78</v>
      </c>
      <c r="L4" t="s">
        <v>54</v>
      </c>
      <c r="M4" t="s">
        <v>392</v>
      </c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>
        <v>4</v>
      </c>
      <c r="AE4" s="52"/>
      <c r="AF4" s="52"/>
      <c r="AG4" s="52"/>
      <c r="AH4" s="52"/>
      <c r="AI4" s="52"/>
      <c r="AJ4" s="52"/>
    </row>
    <row r="5" spans="1:36" x14ac:dyDescent="0.3">
      <c r="A5" s="49" t="s">
        <v>55</v>
      </c>
      <c r="B5" s="51"/>
      <c r="C5" s="51"/>
      <c r="D5" s="51"/>
      <c r="E5" s="51">
        <v>1</v>
      </c>
      <c r="F5" s="51"/>
      <c r="G5" s="51"/>
      <c r="H5" s="51"/>
      <c r="I5" s="51">
        <v>32</v>
      </c>
      <c r="J5" s="51"/>
      <c r="K5" s="51"/>
      <c r="L5" s="51"/>
      <c r="M5" s="51">
        <v>33</v>
      </c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</row>
    <row r="6" spans="1:36" x14ac:dyDescent="0.3">
      <c r="A6" s="50" t="s">
        <v>3</v>
      </c>
      <c r="B6" s="51"/>
      <c r="C6" s="51"/>
      <c r="D6" s="51"/>
      <c r="E6" s="51">
        <v>1</v>
      </c>
      <c r="F6" s="51"/>
      <c r="G6" s="51"/>
      <c r="H6" s="51"/>
      <c r="I6" s="51">
        <v>8</v>
      </c>
      <c r="J6" s="51"/>
      <c r="K6" s="51"/>
      <c r="L6" s="51"/>
      <c r="M6" s="51">
        <v>9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</row>
    <row r="7" spans="1:36" x14ac:dyDescent="0.3">
      <c r="A7" s="50" t="s">
        <v>56</v>
      </c>
      <c r="B7" s="51"/>
      <c r="C7" s="51"/>
      <c r="D7" s="51"/>
      <c r="E7" s="51"/>
      <c r="F7" s="51"/>
      <c r="G7" s="51"/>
      <c r="H7" s="51"/>
      <c r="I7" s="51">
        <v>20</v>
      </c>
      <c r="J7" s="51"/>
      <c r="K7" s="51"/>
      <c r="L7" s="51"/>
      <c r="M7" s="51">
        <v>20</v>
      </c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</row>
    <row r="8" spans="1:36" x14ac:dyDescent="0.3">
      <c r="A8" s="50" t="s">
        <v>57</v>
      </c>
      <c r="B8" s="51"/>
      <c r="C8" s="51"/>
      <c r="D8" s="51"/>
      <c r="E8" s="51"/>
      <c r="F8" s="51"/>
      <c r="G8" s="51"/>
      <c r="H8" s="51"/>
      <c r="I8" s="51">
        <v>4</v>
      </c>
      <c r="J8" s="51"/>
      <c r="K8" s="51"/>
      <c r="L8" s="51"/>
      <c r="M8" s="51">
        <v>4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</row>
    <row r="9" spans="1:36" x14ac:dyDescent="0.3">
      <c r="A9" s="50" t="s">
        <v>58</v>
      </c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</row>
    <row r="10" spans="1:36" x14ac:dyDescent="0.3">
      <c r="A10" s="50" t="s">
        <v>59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</row>
    <row r="11" spans="1:36" x14ac:dyDescent="0.3">
      <c r="A11" s="50" t="s">
        <v>7</v>
      </c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</row>
    <row r="12" spans="1:36" x14ac:dyDescent="0.3">
      <c r="A12" s="50" t="s">
        <v>9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</row>
    <row r="13" spans="1:36" x14ac:dyDescent="0.3">
      <c r="A13" s="50" t="s">
        <v>60</v>
      </c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</row>
    <row r="14" spans="1:36" x14ac:dyDescent="0.3">
      <c r="A14" s="50" t="s">
        <v>11</v>
      </c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</row>
    <row r="15" spans="1:36" x14ac:dyDescent="0.3">
      <c r="A15" s="49" t="s">
        <v>62</v>
      </c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>
        <v>8</v>
      </c>
      <c r="M15" s="51">
        <v>8</v>
      </c>
    </row>
    <row r="16" spans="1:36" x14ac:dyDescent="0.3">
      <c r="A16" s="50" t="s">
        <v>3</v>
      </c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</row>
    <row r="17" spans="1:13" x14ac:dyDescent="0.3">
      <c r="A17" s="50" t="s">
        <v>56</v>
      </c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>
        <v>8</v>
      </c>
      <c r="M17" s="51">
        <v>8</v>
      </c>
    </row>
    <row r="18" spans="1:13" x14ac:dyDescent="0.3">
      <c r="A18" s="50" t="s">
        <v>57</v>
      </c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</row>
    <row r="19" spans="1:13" x14ac:dyDescent="0.3">
      <c r="A19" s="50" t="s">
        <v>58</v>
      </c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</row>
    <row r="20" spans="1:13" x14ac:dyDescent="0.3">
      <c r="A20" s="50" t="s">
        <v>59</v>
      </c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</row>
    <row r="21" spans="1:13" x14ac:dyDescent="0.3">
      <c r="A21" s="50" t="s">
        <v>7</v>
      </c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</row>
    <row r="22" spans="1:13" x14ac:dyDescent="0.3">
      <c r="A22" s="50" t="s">
        <v>9</v>
      </c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</row>
    <row r="23" spans="1:13" x14ac:dyDescent="0.3">
      <c r="A23" s="50" t="s">
        <v>60</v>
      </c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</row>
    <row r="24" spans="1:13" x14ac:dyDescent="0.3">
      <c r="A24" s="50" t="s">
        <v>11</v>
      </c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</row>
    <row r="25" spans="1:13" x14ac:dyDescent="0.3">
      <c r="A25" s="49" t="s">
        <v>392</v>
      </c>
      <c r="B25" s="51"/>
      <c r="C25" s="51"/>
      <c r="D25" s="51"/>
      <c r="E25" s="51">
        <v>1</v>
      </c>
      <c r="F25" s="51"/>
      <c r="G25" s="51"/>
      <c r="H25" s="51"/>
      <c r="I25" s="51">
        <v>32</v>
      </c>
      <c r="J25" s="51"/>
      <c r="K25" s="51"/>
      <c r="L25" s="51">
        <v>8</v>
      </c>
      <c r="M25" s="51">
        <v>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7838E-4AA4-4938-99AC-E7FCD6C232C3}">
  <sheetPr codeName="Sheet13"/>
  <dimension ref="A1:K39"/>
  <sheetViews>
    <sheetView workbookViewId="0">
      <selection sqref="A1:XFD1"/>
    </sheetView>
  </sheetViews>
  <sheetFormatPr defaultRowHeight="14.4" x14ac:dyDescent="0.3"/>
  <sheetData>
    <row r="1" spans="1:11" x14ac:dyDescent="0.3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  <c r="H1" t="s">
        <v>87</v>
      </c>
      <c r="I1" t="s">
        <v>88</v>
      </c>
      <c r="J1" t="s">
        <v>89</v>
      </c>
      <c r="K1" t="s">
        <v>90</v>
      </c>
    </row>
    <row r="2" spans="1:11" x14ac:dyDescent="0.3">
      <c r="B2" t="s">
        <v>209</v>
      </c>
      <c r="C2" s="27" t="s">
        <v>3</v>
      </c>
      <c r="D2" t="s">
        <v>210</v>
      </c>
      <c r="E2" t="s">
        <v>211</v>
      </c>
      <c r="F2" t="s">
        <v>212</v>
      </c>
      <c r="G2" t="s">
        <v>48</v>
      </c>
      <c r="H2" t="s">
        <v>213</v>
      </c>
      <c r="I2" t="s">
        <v>55</v>
      </c>
      <c r="J2" t="s">
        <v>72</v>
      </c>
      <c r="K2">
        <v>1</v>
      </c>
    </row>
    <row r="3" spans="1:11" x14ac:dyDescent="0.3">
      <c r="B3" t="s">
        <v>396</v>
      </c>
      <c r="C3" s="27" t="s">
        <v>3</v>
      </c>
      <c r="D3" t="s">
        <v>100</v>
      </c>
      <c r="E3" t="s">
        <v>93</v>
      </c>
      <c r="F3" t="s">
        <v>94</v>
      </c>
      <c r="G3" t="s">
        <v>52</v>
      </c>
      <c r="H3" t="s">
        <v>213</v>
      </c>
      <c r="I3" t="s">
        <v>55</v>
      </c>
      <c r="J3" t="s">
        <v>72</v>
      </c>
      <c r="K3">
        <v>1</v>
      </c>
    </row>
    <row r="4" spans="1:11" x14ac:dyDescent="0.3">
      <c r="B4" t="s">
        <v>397</v>
      </c>
      <c r="C4" s="27" t="s">
        <v>3</v>
      </c>
      <c r="D4" t="s">
        <v>127</v>
      </c>
      <c r="E4" t="s">
        <v>398</v>
      </c>
      <c r="F4" t="s">
        <v>399</v>
      </c>
      <c r="G4" t="s">
        <v>52</v>
      </c>
      <c r="H4" t="s">
        <v>213</v>
      </c>
      <c r="I4" t="s">
        <v>55</v>
      </c>
      <c r="J4" t="s">
        <v>72</v>
      </c>
      <c r="K4">
        <v>2</v>
      </c>
    </row>
    <row r="5" spans="1:11" x14ac:dyDescent="0.3">
      <c r="B5" t="s">
        <v>400</v>
      </c>
      <c r="C5" s="27" t="s">
        <v>3</v>
      </c>
      <c r="D5" t="s">
        <v>100</v>
      </c>
      <c r="E5" t="s">
        <v>150</v>
      </c>
      <c r="F5" t="s">
        <v>151</v>
      </c>
      <c r="G5" t="s">
        <v>52</v>
      </c>
      <c r="H5" t="s">
        <v>213</v>
      </c>
      <c r="I5" t="s">
        <v>55</v>
      </c>
      <c r="J5" t="s">
        <v>72</v>
      </c>
      <c r="K5">
        <v>1</v>
      </c>
    </row>
    <row r="6" spans="1:11" x14ac:dyDescent="0.3">
      <c r="B6" t="s">
        <v>401</v>
      </c>
      <c r="C6" s="27" t="s">
        <v>3</v>
      </c>
      <c r="D6" t="s">
        <v>123</v>
      </c>
      <c r="E6" t="s">
        <v>402</v>
      </c>
      <c r="F6" t="s">
        <v>403</v>
      </c>
      <c r="G6" t="s">
        <v>52</v>
      </c>
      <c r="H6" t="s">
        <v>213</v>
      </c>
      <c r="I6" t="s">
        <v>55</v>
      </c>
      <c r="J6" t="s">
        <v>72</v>
      </c>
      <c r="K6">
        <v>2</v>
      </c>
    </row>
    <row r="7" spans="1:11" x14ac:dyDescent="0.3">
      <c r="B7" t="s">
        <v>401</v>
      </c>
      <c r="C7" s="27" t="s">
        <v>3</v>
      </c>
      <c r="D7" t="s">
        <v>404</v>
      </c>
      <c r="E7" t="s">
        <v>402</v>
      </c>
      <c r="F7" t="s">
        <v>403</v>
      </c>
      <c r="G7" t="s">
        <v>52</v>
      </c>
      <c r="H7" t="s">
        <v>213</v>
      </c>
      <c r="I7" t="s">
        <v>55</v>
      </c>
      <c r="J7" t="s">
        <v>72</v>
      </c>
      <c r="K7">
        <v>1</v>
      </c>
    </row>
    <row r="8" spans="1:11" x14ac:dyDescent="0.3">
      <c r="B8" t="s">
        <v>401</v>
      </c>
      <c r="C8" s="27" t="s">
        <v>3</v>
      </c>
      <c r="D8" t="s">
        <v>405</v>
      </c>
      <c r="E8" t="s">
        <v>402</v>
      </c>
      <c r="F8" t="s">
        <v>403</v>
      </c>
      <c r="G8" t="s">
        <v>52</v>
      </c>
      <c r="H8" t="s">
        <v>213</v>
      </c>
      <c r="I8" t="s">
        <v>55</v>
      </c>
      <c r="J8" t="s">
        <v>72</v>
      </c>
      <c r="K8">
        <v>1</v>
      </c>
    </row>
    <row r="9" spans="1:11" x14ac:dyDescent="0.3">
      <c r="B9" t="s">
        <v>406</v>
      </c>
      <c r="C9" t="s">
        <v>56</v>
      </c>
      <c r="D9" t="s">
        <v>157</v>
      </c>
      <c r="E9" t="s">
        <v>98</v>
      </c>
      <c r="F9" t="s">
        <v>156</v>
      </c>
      <c r="G9" t="s">
        <v>52</v>
      </c>
      <c r="H9" t="s">
        <v>213</v>
      </c>
      <c r="I9" t="s">
        <v>55</v>
      </c>
      <c r="J9" t="s">
        <v>44</v>
      </c>
      <c r="K9">
        <v>1</v>
      </c>
    </row>
    <row r="10" spans="1:11" x14ac:dyDescent="0.3">
      <c r="B10" t="s">
        <v>407</v>
      </c>
      <c r="C10" t="s">
        <v>56</v>
      </c>
      <c r="D10" t="s">
        <v>142</v>
      </c>
      <c r="E10" t="s">
        <v>408</v>
      </c>
      <c r="F10" t="s">
        <v>409</v>
      </c>
      <c r="G10" t="s">
        <v>52</v>
      </c>
      <c r="H10" t="s">
        <v>213</v>
      </c>
      <c r="I10" t="s">
        <v>55</v>
      </c>
      <c r="J10" t="s">
        <v>44</v>
      </c>
      <c r="K10">
        <v>1</v>
      </c>
    </row>
    <row r="11" spans="1:11" x14ac:dyDescent="0.3">
      <c r="B11" t="s">
        <v>410</v>
      </c>
      <c r="C11" t="s">
        <v>56</v>
      </c>
      <c r="D11" t="s">
        <v>158</v>
      </c>
      <c r="E11" t="s">
        <v>150</v>
      </c>
      <c r="F11" t="s">
        <v>151</v>
      </c>
      <c r="G11" t="s">
        <v>52</v>
      </c>
      <c r="H11" t="s">
        <v>213</v>
      </c>
      <c r="I11" t="s">
        <v>55</v>
      </c>
      <c r="J11" t="s">
        <v>44</v>
      </c>
      <c r="K11">
        <v>2</v>
      </c>
    </row>
    <row r="12" spans="1:11" x14ac:dyDescent="0.3">
      <c r="B12" t="s">
        <v>411</v>
      </c>
      <c r="C12" t="s">
        <v>56</v>
      </c>
      <c r="D12" t="s">
        <v>110</v>
      </c>
      <c r="E12" t="s">
        <v>402</v>
      </c>
      <c r="F12" t="s">
        <v>403</v>
      </c>
      <c r="G12" t="s">
        <v>52</v>
      </c>
      <c r="H12" t="s">
        <v>213</v>
      </c>
      <c r="I12" t="s">
        <v>55</v>
      </c>
      <c r="J12" t="s">
        <v>44</v>
      </c>
      <c r="K12">
        <v>1</v>
      </c>
    </row>
    <row r="13" spans="1:11" x14ac:dyDescent="0.3">
      <c r="B13" t="s">
        <v>412</v>
      </c>
      <c r="C13" t="s">
        <v>56</v>
      </c>
      <c r="D13" t="s">
        <v>110</v>
      </c>
      <c r="E13" t="s">
        <v>413</v>
      </c>
      <c r="F13" t="s">
        <v>414</v>
      </c>
      <c r="G13" t="s">
        <v>52</v>
      </c>
      <c r="H13" t="s">
        <v>213</v>
      </c>
      <c r="I13" t="s">
        <v>55</v>
      </c>
      <c r="J13" t="s">
        <v>44</v>
      </c>
      <c r="K13">
        <v>13</v>
      </c>
    </row>
    <row r="14" spans="1:11" x14ac:dyDescent="0.3">
      <c r="B14" t="s">
        <v>415</v>
      </c>
      <c r="C14" t="s">
        <v>56</v>
      </c>
      <c r="D14" t="s">
        <v>416</v>
      </c>
      <c r="E14" t="s">
        <v>417</v>
      </c>
      <c r="F14" t="s">
        <v>418</v>
      </c>
      <c r="G14" t="s">
        <v>52</v>
      </c>
      <c r="H14" t="s">
        <v>213</v>
      </c>
      <c r="I14" t="s">
        <v>55</v>
      </c>
      <c r="J14" t="s">
        <v>44</v>
      </c>
      <c r="K14">
        <v>2</v>
      </c>
    </row>
    <row r="15" spans="1:11" x14ac:dyDescent="0.3">
      <c r="B15" t="s">
        <v>419</v>
      </c>
      <c r="C15" t="s">
        <v>57</v>
      </c>
      <c r="D15" t="s">
        <v>420</v>
      </c>
      <c r="E15" t="s">
        <v>152</v>
      </c>
      <c r="F15" t="s">
        <v>153</v>
      </c>
      <c r="G15" t="s">
        <v>52</v>
      </c>
      <c r="H15" t="s">
        <v>213</v>
      </c>
      <c r="I15" t="s">
        <v>55</v>
      </c>
      <c r="J15" t="s">
        <v>44</v>
      </c>
      <c r="K15">
        <v>4</v>
      </c>
    </row>
    <row r="16" spans="1:11" x14ac:dyDescent="0.3">
      <c r="B16" t="s">
        <v>91</v>
      </c>
      <c r="C16" t="s">
        <v>56</v>
      </c>
      <c r="D16" t="s">
        <v>92</v>
      </c>
      <c r="E16" t="s">
        <v>93</v>
      </c>
      <c r="F16" t="s">
        <v>94</v>
      </c>
      <c r="G16" t="s">
        <v>54</v>
      </c>
      <c r="H16" t="s">
        <v>61</v>
      </c>
      <c r="I16" t="s">
        <v>62</v>
      </c>
      <c r="J16" t="s">
        <v>44</v>
      </c>
      <c r="K16">
        <v>5</v>
      </c>
    </row>
    <row r="17" spans="2:11" x14ac:dyDescent="0.3">
      <c r="B17" t="s">
        <v>91</v>
      </c>
      <c r="C17" t="s">
        <v>56</v>
      </c>
      <c r="D17" t="s">
        <v>92</v>
      </c>
      <c r="E17" t="s">
        <v>93</v>
      </c>
      <c r="F17" t="s">
        <v>94</v>
      </c>
      <c r="G17" t="s">
        <v>54</v>
      </c>
      <c r="H17" t="s">
        <v>61</v>
      </c>
      <c r="I17" t="s">
        <v>62</v>
      </c>
      <c r="J17" t="s">
        <v>44</v>
      </c>
      <c r="K17">
        <v>3</v>
      </c>
    </row>
    <row r="18" spans="2:11" x14ac:dyDescent="0.3">
      <c r="C18" s="27" t="s">
        <v>3</v>
      </c>
      <c r="D18" s="28"/>
      <c r="E18" s="28"/>
      <c r="F18" s="28"/>
      <c r="G18" s="28" t="s">
        <v>45</v>
      </c>
      <c r="H18" s="28" t="s">
        <v>213</v>
      </c>
      <c r="I18" s="28" t="s">
        <v>55</v>
      </c>
    </row>
    <row r="19" spans="2:11" x14ac:dyDescent="0.3">
      <c r="C19" s="27" t="s">
        <v>56</v>
      </c>
      <c r="D19" s="28"/>
      <c r="E19" s="28"/>
      <c r="F19" s="28"/>
      <c r="G19" s="28" t="s">
        <v>46</v>
      </c>
      <c r="H19" s="28" t="s">
        <v>213</v>
      </c>
      <c r="I19" s="28" t="s">
        <v>55</v>
      </c>
    </row>
    <row r="20" spans="2:11" x14ac:dyDescent="0.3">
      <c r="C20" s="27" t="s">
        <v>57</v>
      </c>
      <c r="D20" s="28"/>
      <c r="E20" s="28"/>
      <c r="F20" s="28"/>
      <c r="G20" s="28" t="s">
        <v>47</v>
      </c>
      <c r="H20" s="28" t="s">
        <v>213</v>
      </c>
      <c r="I20" s="28" t="s">
        <v>55</v>
      </c>
    </row>
    <row r="21" spans="2:11" x14ac:dyDescent="0.3">
      <c r="C21" s="27" t="s">
        <v>58</v>
      </c>
      <c r="D21" s="28"/>
      <c r="E21" s="28"/>
      <c r="F21" s="28"/>
      <c r="G21" s="28" t="s">
        <v>48</v>
      </c>
      <c r="H21" s="28" t="s">
        <v>213</v>
      </c>
      <c r="I21" s="28" t="s">
        <v>55</v>
      </c>
    </row>
    <row r="22" spans="2:11" x14ac:dyDescent="0.3">
      <c r="C22" s="27" t="s">
        <v>59</v>
      </c>
      <c r="D22" s="28"/>
      <c r="E22" s="28"/>
      <c r="F22" s="28"/>
      <c r="G22" s="28" t="s">
        <v>49</v>
      </c>
      <c r="H22" s="28" t="s">
        <v>213</v>
      </c>
      <c r="I22" s="28" t="s">
        <v>55</v>
      </c>
    </row>
    <row r="23" spans="2:11" x14ac:dyDescent="0.3">
      <c r="C23" s="27" t="s">
        <v>7</v>
      </c>
      <c r="D23" s="28"/>
      <c r="E23" s="28"/>
      <c r="F23" s="28"/>
      <c r="G23" s="28" t="s">
        <v>50</v>
      </c>
      <c r="H23" s="28" t="s">
        <v>213</v>
      </c>
      <c r="I23" s="28" t="s">
        <v>55</v>
      </c>
    </row>
    <row r="24" spans="2:11" x14ac:dyDescent="0.3">
      <c r="C24" s="27" t="s">
        <v>9</v>
      </c>
      <c r="D24" s="28"/>
      <c r="E24" s="28"/>
      <c r="F24" s="28"/>
      <c r="G24" s="28" t="s">
        <v>51</v>
      </c>
      <c r="H24" s="28" t="s">
        <v>213</v>
      </c>
      <c r="I24" s="28" t="s">
        <v>55</v>
      </c>
    </row>
    <row r="25" spans="2:11" x14ac:dyDescent="0.3">
      <c r="C25" s="27" t="s">
        <v>60</v>
      </c>
      <c r="D25" s="28"/>
      <c r="E25" s="28"/>
      <c r="F25" s="28"/>
      <c r="G25" s="28" t="s">
        <v>52</v>
      </c>
      <c r="H25" s="28" t="s">
        <v>213</v>
      </c>
      <c r="I25" s="28" t="s">
        <v>55</v>
      </c>
    </row>
    <row r="26" spans="2:11" x14ac:dyDescent="0.3">
      <c r="C26" s="27" t="s">
        <v>11</v>
      </c>
      <c r="D26" s="28"/>
      <c r="E26" s="28"/>
      <c r="F26" s="28"/>
      <c r="G26" s="28" t="s">
        <v>53</v>
      </c>
      <c r="H26" s="28" t="s">
        <v>213</v>
      </c>
      <c r="I26" s="28" t="s">
        <v>55</v>
      </c>
    </row>
    <row r="27" spans="2:11" x14ac:dyDescent="0.3">
      <c r="C27" s="27" t="s">
        <v>11</v>
      </c>
      <c r="D27" s="28"/>
      <c r="E27" s="28"/>
      <c r="F27" s="28"/>
      <c r="G27" s="28" t="s">
        <v>78</v>
      </c>
      <c r="H27" s="28" t="s">
        <v>213</v>
      </c>
      <c r="I27" s="28" t="s">
        <v>55</v>
      </c>
    </row>
    <row r="28" spans="2:11" x14ac:dyDescent="0.3">
      <c r="C28" s="27" t="s">
        <v>11</v>
      </c>
      <c r="D28" s="28"/>
      <c r="E28" s="28"/>
      <c r="F28" s="28"/>
      <c r="G28" s="28" t="s">
        <v>54</v>
      </c>
      <c r="H28" s="28" t="s">
        <v>213</v>
      </c>
      <c r="I28" s="28" t="s">
        <v>55</v>
      </c>
    </row>
    <row r="29" spans="2:11" x14ac:dyDescent="0.3">
      <c r="C29" s="27" t="s">
        <v>3</v>
      </c>
      <c r="D29" s="28"/>
      <c r="E29" s="28"/>
      <c r="F29" s="28"/>
      <c r="G29" s="28" t="s">
        <v>45</v>
      </c>
      <c r="H29" s="28" t="s">
        <v>61</v>
      </c>
      <c r="I29" s="28" t="s">
        <v>62</v>
      </c>
    </row>
    <row r="30" spans="2:11" x14ac:dyDescent="0.3">
      <c r="C30" s="27" t="s">
        <v>56</v>
      </c>
      <c r="D30" s="28"/>
      <c r="E30" s="28"/>
      <c r="F30" s="28"/>
      <c r="G30" s="28" t="s">
        <v>46</v>
      </c>
      <c r="H30" s="28" t="s">
        <v>61</v>
      </c>
      <c r="I30" s="28" t="s">
        <v>62</v>
      </c>
    </row>
    <row r="31" spans="2:11" x14ac:dyDescent="0.3">
      <c r="C31" s="27" t="s">
        <v>57</v>
      </c>
      <c r="D31" s="28"/>
      <c r="E31" s="28"/>
      <c r="F31" s="28"/>
      <c r="G31" s="28" t="s">
        <v>47</v>
      </c>
      <c r="H31" s="28" t="s">
        <v>61</v>
      </c>
      <c r="I31" s="28" t="s">
        <v>62</v>
      </c>
    </row>
    <row r="32" spans="2:11" x14ac:dyDescent="0.3">
      <c r="C32" s="27" t="s">
        <v>58</v>
      </c>
      <c r="D32" s="28"/>
      <c r="E32" s="28"/>
      <c r="F32" s="28"/>
      <c r="G32" s="28" t="s">
        <v>48</v>
      </c>
      <c r="H32" s="28" t="s">
        <v>61</v>
      </c>
      <c r="I32" s="28" t="s">
        <v>62</v>
      </c>
    </row>
    <row r="33" spans="3:9" x14ac:dyDescent="0.3">
      <c r="C33" s="27" t="s">
        <v>59</v>
      </c>
      <c r="D33" s="28"/>
      <c r="E33" s="28"/>
      <c r="F33" s="28"/>
      <c r="G33" s="28" t="s">
        <v>49</v>
      </c>
      <c r="H33" s="28" t="s">
        <v>61</v>
      </c>
      <c r="I33" s="28" t="s">
        <v>62</v>
      </c>
    </row>
    <row r="34" spans="3:9" x14ac:dyDescent="0.3">
      <c r="C34" s="27" t="s">
        <v>7</v>
      </c>
      <c r="D34" s="28"/>
      <c r="E34" s="28"/>
      <c r="F34" s="28"/>
      <c r="G34" s="28" t="s">
        <v>50</v>
      </c>
      <c r="H34" s="28" t="s">
        <v>61</v>
      </c>
      <c r="I34" s="28" t="s">
        <v>62</v>
      </c>
    </row>
    <row r="35" spans="3:9" x14ac:dyDescent="0.3">
      <c r="C35" s="27" t="s">
        <v>9</v>
      </c>
      <c r="D35" s="28"/>
      <c r="E35" s="28"/>
      <c r="F35" s="28"/>
      <c r="G35" s="28" t="s">
        <v>51</v>
      </c>
      <c r="H35" s="28" t="s">
        <v>61</v>
      </c>
      <c r="I35" s="28" t="s">
        <v>62</v>
      </c>
    </row>
    <row r="36" spans="3:9" x14ac:dyDescent="0.3">
      <c r="C36" s="27" t="s">
        <v>60</v>
      </c>
      <c r="D36" s="28"/>
      <c r="E36" s="28"/>
      <c r="F36" s="28"/>
      <c r="G36" s="28" t="s">
        <v>52</v>
      </c>
      <c r="H36" s="28" t="s">
        <v>61</v>
      </c>
      <c r="I36" s="28" t="s">
        <v>62</v>
      </c>
    </row>
    <row r="37" spans="3:9" x14ac:dyDescent="0.3">
      <c r="C37" s="27" t="s">
        <v>11</v>
      </c>
      <c r="D37" s="28"/>
      <c r="E37" s="28"/>
      <c r="F37" s="28"/>
      <c r="G37" s="28" t="s">
        <v>53</v>
      </c>
      <c r="H37" s="28" t="s">
        <v>61</v>
      </c>
      <c r="I37" s="28" t="s">
        <v>62</v>
      </c>
    </row>
    <row r="38" spans="3:9" x14ac:dyDescent="0.3">
      <c r="C38" s="27" t="s">
        <v>11</v>
      </c>
      <c r="D38" s="28"/>
      <c r="E38" s="28"/>
      <c r="F38" s="28"/>
      <c r="G38" s="28" t="s">
        <v>54</v>
      </c>
      <c r="H38" s="28" t="s">
        <v>61</v>
      </c>
      <c r="I38" s="28" t="s">
        <v>62</v>
      </c>
    </row>
    <row r="39" spans="3:9" x14ac:dyDescent="0.3">
      <c r="C39" s="27" t="s">
        <v>11</v>
      </c>
      <c r="D39" s="28"/>
      <c r="E39" s="28"/>
      <c r="F39" s="28"/>
      <c r="G39" s="28" t="s">
        <v>78</v>
      </c>
      <c r="H39" s="28" t="s">
        <v>61</v>
      </c>
      <c r="I39" s="28" t="s">
        <v>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FA590-ABB6-4BF5-A80D-7C05D0A80963}">
  <dimension ref="A2:AJ25"/>
  <sheetViews>
    <sheetView workbookViewId="0"/>
  </sheetViews>
  <sheetFormatPr defaultRowHeight="14.4" x14ac:dyDescent="0.3"/>
  <cols>
    <col min="1" max="1" width="31.109375" bestFit="1" customWidth="1"/>
    <col min="2" max="2" width="18.33203125" bestFit="1" customWidth="1"/>
    <col min="3" max="4" width="10.77734375" bestFit="1" customWidth="1"/>
    <col min="5" max="5" width="14.33203125" bestFit="1" customWidth="1"/>
    <col min="6" max="6" width="22.77734375" bestFit="1" customWidth="1"/>
    <col min="7" max="7" width="21.5546875" bestFit="1" customWidth="1"/>
    <col min="8" max="8" width="14.33203125" bestFit="1" customWidth="1"/>
    <col min="9" max="10" width="11.6640625" bestFit="1" customWidth="1"/>
    <col min="11" max="11" width="31.88671875" bestFit="1" customWidth="1"/>
    <col min="12" max="12" width="12.6640625" bestFit="1" customWidth="1"/>
    <col min="13" max="13" width="10.77734375" bestFit="1" customWidth="1"/>
  </cols>
  <sheetData>
    <row r="2" spans="1:36" x14ac:dyDescent="0.3">
      <c r="O2" s="52"/>
      <c r="P2" s="52">
        <v>1</v>
      </c>
      <c r="Q2" s="52"/>
      <c r="R2" s="52">
        <v>2</v>
      </c>
      <c r="S2" s="52"/>
      <c r="T2" s="52"/>
      <c r="U2" s="52"/>
      <c r="V2" s="52"/>
      <c r="W2" s="52"/>
      <c r="X2" s="52">
        <v>4</v>
      </c>
      <c r="Y2" s="52"/>
      <c r="Z2" s="52">
        <v>27</v>
      </c>
      <c r="AA2" s="52"/>
      <c r="AB2" s="52"/>
      <c r="AC2" s="52"/>
      <c r="AD2" s="52">
        <v>6</v>
      </c>
      <c r="AE2" s="52"/>
      <c r="AF2" s="52"/>
      <c r="AG2" s="52"/>
      <c r="AH2" s="52"/>
      <c r="AI2" s="52"/>
      <c r="AJ2" s="52">
        <v>74</v>
      </c>
    </row>
    <row r="3" spans="1:36" x14ac:dyDescent="0.3">
      <c r="A3" s="48" t="s">
        <v>394</v>
      </c>
      <c r="B3" s="48" t="s">
        <v>393</v>
      </c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</row>
    <row r="4" spans="1:36" x14ac:dyDescent="0.3">
      <c r="A4" s="48" t="s">
        <v>391</v>
      </c>
      <c r="B4" t="s">
        <v>47</v>
      </c>
      <c r="C4" t="s">
        <v>45</v>
      </c>
      <c r="D4" t="s">
        <v>46</v>
      </c>
      <c r="E4" t="s">
        <v>48</v>
      </c>
      <c r="F4" t="s">
        <v>49</v>
      </c>
      <c r="G4" t="s">
        <v>50</v>
      </c>
      <c r="H4" t="s">
        <v>51</v>
      </c>
      <c r="I4" t="s">
        <v>52</v>
      </c>
      <c r="J4" t="s">
        <v>53</v>
      </c>
      <c r="K4" t="s">
        <v>78</v>
      </c>
      <c r="L4" t="s">
        <v>54</v>
      </c>
      <c r="M4" t="s">
        <v>392</v>
      </c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</row>
    <row r="5" spans="1:36" x14ac:dyDescent="0.3">
      <c r="A5" s="49" t="s">
        <v>30</v>
      </c>
      <c r="B5" s="51"/>
      <c r="C5" s="51">
        <v>2</v>
      </c>
      <c r="D5" s="51">
        <v>2</v>
      </c>
      <c r="E5" s="51"/>
      <c r="F5" s="51">
        <v>5</v>
      </c>
      <c r="G5" s="51">
        <v>27</v>
      </c>
      <c r="H5" s="51"/>
      <c r="I5" s="51">
        <v>6</v>
      </c>
      <c r="J5" s="51"/>
      <c r="K5" s="51"/>
      <c r="L5" s="51">
        <v>74</v>
      </c>
      <c r="M5" s="51">
        <v>116</v>
      </c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</row>
    <row r="6" spans="1:36" x14ac:dyDescent="0.3">
      <c r="A6" s="50" t="s">
        <v>3</v>
      </c>
      <c r="B6" s="51"/>
      <c r="C6" s="51">
        <v>1</v>
      </c>
      <c r="D6" s="51">
        <v>2</v>
      </c>
      <c r="E6" s="51"/>
      <c r="F6" s="51">
        <v>4</v>
      </c>
      <c r="G6" s="51">
        <v>27</v>
      </c>
      <c r="H6" s="51"/>
      <c r="I6" s="51">
        <v>6</v>
      </c>
      <c r="J6" s="51"/>
      <c r="K6" s="51"/>
      <c r="L6" s="51">
        <v>74</v>
      </c>
      <c r="M6" s="51">
        <v>114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</row>
    <row r="7" spans="1:36" x14ac:dyDescent="0.3">
      <c r="A7" s="50" t="s">
        <v>56</v>
      </c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</row>
    <row r="8" spans="1:36" x14ac:dyDescent="0.3">
      <c r="A8" s="50" t="s">
        <v>57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</row>
    <row r="9" spans="1:36" x14ac:dyDescent="0.3">
      <c r="A9" s="50" t="s">
        <v>58</v>
      </c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O9" s="52"/>
      <c r="P9" s="52">
        <v>1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</row>
    <row r="10" spans="1:36" x14ac:dyDescent="0.3">
      <c r="A10" s="50" t="s">
        <v>59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O10" s="52"/>
      <c r="P10" s="52"/>
      <c r="Q10" s="52"/>
      <c r="R10" s="52"/>
      <c r="S10" s="52"/>
      <c r="T10" s="52"/>
      <c r="U10" s="52"/>
      <c r="V10" s="52"/>
      <c r="W10" s="52"/>
      <c r="X10" s="52">
        <v>1</v>
      </c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</row>
    <row r="11" spans="1:36" x14ac:dyDescent="0.3">
      <c r="A11" s="50" t="s">
        <v>7</v>
      </c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</row>
    <row r="12" spans="1:36" x14ac:dyDescent="0.3">
      <c r="A12" s="50" t="s">
        <v>9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</row>
    <row r="13" spans="1:36" x14ac:dyDescent="0.3">
      <c r="A13" s="50" t="s">
        <v>60</v>
      </c>
      <c r="B13" s="51"/>
      <c r="C13" s="51">
        <v>1</v>
      </c>
      <c r="D13" s="51"/>
      <c r="E13" s="51"/>
      <c r="F13" s="51"/>
      <c r="G13" s="51"/>
      <c r="H13" s="51"/>
      <c r="I13" s="51"/>
      <c r="J13" s="51"/>
      <c r="K13" s="51"/>
      <c r="L13" s="51"/>
      <c r="M13" s="51">
        <v>1</v>
      </c>
    </row>
    <row r="14" spans="1:36" x14ac:dyDescent="0.3">
      <c r="A14" s="50" t="s">
        <v>11</v>
      </c>
      <c r="B14" s="51"/>
      <c r="C14" s="51"/>
      <c r="D14" s="51"/>
      <c r="E14" s="51"/>
      <c r="F14" s="51">
        <v>1</v>
      </c>
      <c r="G14" s="51"/>
      <c r="H14" s="51"/>
      <c r="I14" s="51"/>
      <c r="J14" s="51"/>
      <c r="K14" s="51"/>
      <c r="L14" s="51"/>
      <c r="M14" s="51">
        <v>1</v>
      </c>
    </row>
    <row r="15" spans="1:36" x14ac:dyDescent="0.3">
      <c r="A15" s="49" t="s">
        <v>222</v>
      </c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</row>
    <row r="16" spans="1:36" x14ac:dyDescent="0.3">
      <c r="A16" s="50" t="s">
        <v>3</v>
      </c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</row>
    <row r="17" spans="1:13" x14ac:dyDescent="0.3">
      <c r="A17" s="50" t="s">
        <v>56</v>
      </c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</row>
    <row r="18" spans="1:13" x14ac:dyDescent="0.3">
      <c r="A18" s="50" t="s">
        <v>57</v>
      </c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</row>
    <row r="19" spans="1:13" x14ac:dyDescent="0.3">
      <c r="A19" s="50" t="s">
        <v>58</v>
      </c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</row>
    <row r="20" spans="1:13" x14ac:dyDescent="0.3">
      <c r="A20" s="50" t="s">
        <v>59</v>
      </c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</row>
    <row r="21" spans="1:13" x14ac:dyDescent="0.3">
      <c r="A21" s="50" t="s">
        <v>7</v>
      </c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</row>
    <row r="22" spans="1:13" x14ac:dyDescent="0.3">
      <c r="A22" s="50" t="s">
        <v>9</v>
      </c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</row>
    <row r="23" spans="1:13" x14ac:dyDescent="0.3">
      <c r="A23" s="50" t="s">
        <v>60</v>
      </c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</row>
    <row r="24" spans="1:13" x14ac:dyDescent="0.3">
      <c r="A24" s="50" t="s">
        <v>11</v>
      </c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</row>
    <row r="25" spans="1:13" x14ac:dyDescent="0.3">
      <c r="A25" s="49" t="s">
        <v>392</v>
      </c>
      <c r="B25" s="51"/>
      <c r="C25" s="51">
        <v>2</v>
      </c>
      <c r="D25" s="51">
        <v>2</v>
      </c>
      <c r="E25" s="51"/>
      <c r="F25" s="51">
        <v>5</v>
      </c>
      <c r="G25" s="51">
        <v>27</v>
      </c>
      <c r="H25" s="51"/>
      <c r="I25" s="51">
        <v>6</v>
      </c>
      <c r="J25" s="51"/>
      <c r="K25" s="51"/>
      <c r="L25" s="51">
        <v>74</v>
      </c>
      <c r="M25" s="51">
        <v>116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2D92E-66B9-4B2D-BA8B-24FB14AA4C89}">
  <sheetPr codeName="Sheet3"/>
  <dimension ref="A1:K53"/>
  <sheetViews>
    <sheetView workbookViewId="0">
      <selection activeCell="C1" sqref="C1"/>
    </sheetView>
  </sheetViews>
  <sheetFormatPr defaultRowHeight="14.4" x14ac:dyDescent="0.3"/>
  <sheetData>
    <row r="1" spans="1:11" x14ac:dyDescent="0.3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  <c r="H1" t="s">
        <v>87</v>
      </c>
      <c r="I1" t="s">
        <v>88</v>
      </c>
      <c r="J1" t="s">
        <v>89</v>
      </c>
      <c r="K1" t="s">
        <v>90</v>
      </c>
    </row>
    <row r="2" spans="1:11" x14ac:dyDescent="0.3">
      <c r="A2" t="s">
        <v>30</v>
      </c>
      <c r="B2" t="s">
        <v>259</v>
      </c>
      <c r="C2" s="47" t="s">
        <v>3</v>
      </c>
      <c r="D2" t="s">
        <v>116</v>
      </c>
      <c r="E2" t="s">
        <v>117</v>
      </c>
      <c r="F2" t="s">
        <v>118</v>
      </c>
      <c r="G2" t="s">
        <v>45</v>
      </c>
      <c r="H2" t="s">
        <v>75</v>
      </c>
      <c r="I2" t="s">
        <v>77</v>
      </c>
      <c r="J2" t="s">
        <v>44</v>
      </c>
      <c r="K2">
        <v>1</v>
      </c>
    </row>
    <row r="3" spans="1:11" x14ac:dyDescent="0.3">
      <c r="A3" t="s">
        <v>30</v>
      </c>
      <c r="B3" t="s">
        <v>421</v>
      </c>
      <c r="C3" t="s">
        <v>60</v>
      </c>
      <c r="D3" t="s">
        <v>422</v>
      </c>
      <c r="E3" t="s">
        <v>154</v>
      </c>
      <c r="F3" t="s">
        <v>155</v>
      </c>
      <c r="G3" t="s">
        <v>45</v>
      </c>
      <c r="H3" t="s">
        <v>75</v>
      </c>
      <c r="I3" t="s">
        <v>77</v>
      </c>
      <c r="J3" t="s">
        <v>44</v>
      </c>
      <c r="K3">
        <v>1</v>
      </c>
    </row>
    <row r="4" spans="1:11" x14ac:dyDescent="0.3">
      <c r="A4" t="s">
        <v>30</v>
      </c>
      <c r="B4" t="s">
        <v>264</v>
      </c>
      <c r="C4" s="47" t="s">
        <v>3</v>
      </c>
      <c r="D4" t="s">
        <v>120</v>
      </c>
      <c r="E4" t="s">
        <v>111</v>
      </c>
      <c r="F4" t="s">
        <v>176</v>
      </c>
      <c r="G4" t="s">
        <v>46</v>
      </c>
      <c r="H4" t="s">
        <v>75</v>
      </c>
      <c r="I4" t="s">
        <v>77</v>
      </c>
      <c r="J4" t="s">
        <v>72</v>
      </c>
      <c r="K4">
        <v>1</v>
      </c>
    </row>
    <row r="5" spans="1:11" x14ac:dyDescent="0.3">
      <c r="A5" t="s">
        <v>30</v>
      </c>
      <c r="B5" t="s">
        <v>265</v>
      </c>
      <c r="C5" s="47" t="s">
        <v>3</v>
      </c>
      <c r="D5" t="s">
        <v>121</v>
      </c>
      <c r="E5" t="s">
        <v>266</v>
      </c>
      <c r="F5" t="s">
        <v>267</v>
      </c>
      <c r="G5" t="s">
        <v>46</v>
      </c>
      <c r="H5" t="s">
        <v>75</v>
      </c>
      <c r="I5" t="s">
        <v>77</v>
      </c>
      <c r="J5" t="s">
        <v>72</v>
      </c>
      <c r="K5">
        <v>1</v>
      </c>
    </row>
    <row r="6" spans="1:11" x14ac:dyDescent="0.3">
      <c r="A6" t="s">
        <v>30</v>
      </c>
      <c r="B6" t="s">
        <v>189</v>
      </c>
      <c r="C6" s="47" t="s">
        <v>3</v>
      </c>
      <c r="D6" t="s">
        <v>190</v>
      </c>
      <c r="E6" t="s">
        <v>181</v>
      </c>
      <c r="F6" t="s">
        <v>182</v>
      </c>
      <c r="G6" t="s">
        <v>49</v>
      </c>
      <c r="H6" t="s">
        <v>75</v>
      </c>
      <c r="I6" t="s">
        <v>77</v>
      </c>
      <c r="J6" t="s">
        <v>72</v>
      </c>
      <c r="K6">
        <v>1</v>
      </c>
    </row>
    <row r="7" spans="1:11" x14ac:dyDescent="0.3">
      <c r="A7" t="s">
        <v>30</v>
      </c>
      <c r="B7" t="s">
        <v>189</v>
      </c>
      <c r="C7" s="47" t="s">
        <v>3</v>
      </c>
      <c r="D7" t="s">
        <v>186</v>
      </c>
      <c r="E7" t="s">
        <v>181</v>
      </c>
      <c r="F7" t="s">
        <v>182</v>
      </c>
      <c r="G7" t="s">
        <v>49</v>
      </c>
      <c r="H7" t="s">
        <v>75</v>
      </c>
      <c r="I7" t="s">
        <v>77</v>
      </c>
      <c r="J7" t="s">
        <v>72</v>
      </c>
      <c r="K7">
        <v>1</v>
      </c>
    </row>
    <row r="8" spans="1:11" x14ac:dyDescent="0.3">
      <c r="A8" t="s">
        <v>30</v>
      </c>
      <c r="B8" t="s">
        <v>189</v>
      </c>
      <c r="C8" s="47" t="s">
        <v>3</v>
      </c>
      <c r="D8" t="s">
        <v>125</v>
      </c>
      <c r="E8" t="s">
        <v>181</v>
      </c>
      <c r="F8" t="s">
        <v>182</v>
      </c>
      <c r="G8" t="s">
        <v>49</v>
      </c>
      <c r="H8" t="s">
        <v>75</v>
      </c>
      <c r="I8" t="s">
        <v>77</v>
      </c>
      <c r="J8" t="s">
        <v>72</v>
      </c>
      <c r="K8">
        <v>1</v>
      </c>
    </row>
    <row r="9" spans="1:11" x14ac:dyDescent="0.3">
      <c r="A9" t="s">
        <v>30</v>
      </c>
      <c r="B9" t="s">
        <v>191</v>
      </c>
      <c r="C9" s="47" t="s">
        <v>3</v>
      </c>
      <c r="D9" t="s">
        <v>127</v>
      </c>
      <c r="E9" t="s">
        <v>192</v>
      </c>
      <c r="F9" t="s">
        <v>193</v>
      </c>
      <c r="G9" t="s">
        <v>49</v>
      </c>
      <c r="H9" t="s">
        <v>75</v>
      </c>
      <c r="I9" t="s">
        <v>77</v>
      </c>
      <c r="J9" t="s">
        <v>72</v>
      </c>
      <c r="K9">
        <v>1</v>
      </c>
    </row>
    <row r="10" spans="1:11" x14ac:dyDescent="0.3">
      <c r="A10" t="s">
        <v>30</v>
      </c>
      <c r="B10" t="s">
        <v>423</v>
      </c>
      <c r="C10" t="s">
        <v>11</v>
      </c>
      <c r="D10" t="s">
        <v>424</v>
      </c>
      <c r="E10" t="s">
        <v>179</v>
      </c>
      <c r="F10" t="s">
        <v>180</v>
      </c>
      <c r="G10" t="s">
        <v>49</v>
      </c>
      <c r="H10" t="s">
        <v>75</v>
      </c>
      <c r="I10" t="s">
        <v>77</v>
      </c>
      <c r="J10" t="s">
        <v>44</v>
      </c>
      <c r="K10">
        <v>1</v>
      </c>
    </row>
    <row r="11" spans="1:11" x14ac:dyDescent="0.3">
      <c r="A11" t="s">
        <v>30</v>
      </c>
      <c r="B11" t="s">
        <v>425</v>
      </c>
      <c r="C11" s="47" t="s">
        <v>3</v>
      </c>
      <c r="D11" t="s">
        <v>121</v>
      </c>
      <c r="E11" t="s">
        <v>426</v>
      </c>
      <c r="F11" t="s">
        <v>427</v>
      </c>
      <c r="G11" t="s">
        <v>50</v>
      </c>
      <c r="H11" t="s">
        <v>75</v>
      </c>
      <c r="I11" t="s">
        <v>77</v>
      </c>
      <c r="J11" t="s">
        <v>72</v>
      </c>
      <c r="K11">
        <v>1</v>
      </c>
    </row>
    <row r="12" spans="1:11" x14ac:dyDescent="0.3">
      <c r="A12" t="s">
        <v>30</v>
      </c>
      <c r="B12" t="s">
        <v>428</v>
      </c>
      <c r="C12" s="47" t="s">
        <v>3</v>
      </c>
      <c r="D12" t="s">
        <v>120</v>
      </c>
      <c r="E12" t="s">
        <v>429</v>
      </c>
      <c r="F12" t="s">
        <v>430</v>
      </c>
      <c r="G12" t="s">
        <v>50</v>
      </c>
      <c r="H12" t="s">
        <v>75</v>
      </c>
      <c r="I12" t="s">
        <v>77</v>
      </c>
      <c r="J12" t="s">
        <v>72</v>
      </c>
      <c r="K12">
        <v>1</v>
      </c>
    </row>
    <row r="13" spans="1:11" x14ac:dyDescent="0.3">
      <c r="A13" t="s">
        <v>30</v>
      </c>
      <c r="B13" t="s">
        <v>340</v>
      </c>
      <c r="C13" s="47" t="s">
        <v>3</v>
      </c>
      <c r="D13" t="s">
        <v>126</v>
      </c>
      <c r="E13" t="s">
        <v>341</v>
      </c>
      <c r="F13" t="s">
        <v>342</v>
      </c>
      <c r="G13" t="s">
        <v>50</v>
      </c>
      <c r="H13" t="s">
        <v>75</v>
      </c>
      <c r="I13" t="s">
        <v>77</v>
      </c>
      <c r="J13" t="s">
        <v>72</v>
      </c>
      <c r="K13">
        <v>1</v>
      </c>
    </row>
    <row r="14" spans="1:11" x14ac:dyDescent="0.3">
      <c r="A14" t="s">
        <v>30</v>
      </c>
      <c r="B14" t="s">
        <v>343</v>
      </c>
      <c r="C14" s="47" t="s">
        <v>3</v>
      </c>
      <c r="D14" t="s">
        <v>190</v>
      </c>
      <c r="E14" t="s">
        <v>179</v>
      </c>
      <c r="F14" t="s">
        <v>180</v>
      </c>
      <c r="G14" t="s">
        <v>50</v>
      </c>
      <c r="H14" t="s">
        <v>75</v>
      </c>
      <c r="I14" t="s">
        <v>77</v>
      </c>
      <c r="J14" t="s">
        <v>72</v>
      </c>
      <c r="K14">
        <v>2</v>
      </c>
    </row>
    <row r="15" spans="1:11" x14ac:dyDescent="0.3">
      <c r="A15" t="s">
        <v>30</v>
      </c>
      <c r="B15" t="s">
        <v>343</v>
      </c>
      <c r="C15" s="47" t="s">
        <v>3</v>
      </c>
      <c r="D15" t="s">
        <v>184</v>
      </c>
      <c r="E15" t="s">
        <v>179</v>
      </c>
      <c r="F15" t="s">
        <v>180</v>
      </c>
      <c r="G15" t="s">
        <v>50</v>
      </c>
      <c r="H15" t="s">
        <v>75</v>
      </c>
      <c r="I15" t="s">
        <v>77</v>
      </c>
      <c r="J15" t="s">
        <v>72</v>
      </c>
      <c r="K15">
        <v>1</v>
      </c>
    </row>
    <row r="16" spans="1:11" x14ac:dyDescent="0.3">
      <c r="A16" t="s">
        <v>30</v>
      </c>
      <c r="B16" t="s">
        <v>343</v>
      </c>
      <c r="C16" s="47" t="s">
        <v>3</v>
      </c>
      <c r="D16" t="s">
        <v>194</v>
      </c>
      <c r="E16" t="s">
        <v>179</v>
      </c>
      <c r="F16" t="s">
        <v>180</v>
      </c>
      <c r="G16" t="s">
        <v>50</v>
      </c>
      <c r="H16" t="s">
        <v>75</v>
      </c>
      <c r="I16" t="s">
        <v>77</v>
      </c>
      <c r="J16" t="s">
        <v>72</v>
      </c>
      <c r="K16">
        <v>6</v>
      </c>
    </row>
    <row r="17" spans="1:11" x14ac:dyDescent="0.3">
      <c r="A17" t="s">
        <v>30</v>
      </c>
      <c r="B17" t="s">
        <v>343</v>
      </c>
      <c r="C17" s="47" t="s">
        <v>3</v>
      </c>
      <c r="D17" t="s">
        <v>188</v>
      </c>
      <c r="E17" t="s">
        <v>179</v>
      </c>
      <c r="F17" t="s">
        <v>180</v>
      </c>
      <c r="G17" t="s">
        <v>50</v>
      </c>
      <c r="H17" t="s">
        <v>75</v>
      </c>
      <c r="I17" t="s">
        <v>77</v>
      </c>
      <c r="J17" t="s">
        <v>72</v>
      </c>
      <c r="K17">
        <v>3</v>
      </c>
    </row>
    <row r="18" spans="1:11" x14ac:dyDescent="0.3">
      <c r="A18" t="s">
        <v>30</v>
      </c>
      <c r="B18" t="s">
        <v>343</v>
      </c>
      <c r="C18" s="47" t="s">
        <v>3</v>
      </c>
      <c r="D18" t="s">
        <v>185</v>
      </c>
      <c r="E18" t="s">
        <v>179</v>
      </c>
      <c r="F18" t="s">
        <v>180</v>
      </c>
      <c r="G18" t="s">
        <v>50</v>
      </c>
      <c r="H18" t="s">
        <v>75</v>
      </c>
      <c r="I18" t="s">
        <v>77</v>
      </c>
      <c r="J18" t="s">
        <v>72</v>
      </c>
      <c r="K18">
        <v>5</v>
      </c>
    </row>
    <row r="19" spans="1:11" x14ac:dyDescent="0.3">
      <c r="A19" t="s">
        <v>30</v>
      </c>
      <c r="B19" t="s">
        <v>343</v>
      </c>
      <c r="C19" s="47" t="s">
        <v>3</v>
      </c>
      <c r="D19" t="s">
        <v>196</v>
      </c>
      <c r="E19" t="s">
        <v>179</v>
      </c>
      <c r="F19" t="s">
        <v>180</v>
      </c>
      <c r="G19" t="s">
        <v>50</v>
      </c>
      <c r="H19" t="s">
        <v>75</v>
      </c>
      <c r="I19" t="s">
        <v>77</v>
      </c>
      <c r="J19" t="s">
        <v>72</v>
      </c>
      <c r="K19">
        <v>1</v>
      </c>
    </row>
    <row r="20" spans="1:11" x14ac:dyDescent="0.3">
      <c r="A20" t="s">
        <v>30</v>
      </c>
      <c r="B20" t="s">
        <v>343</v>
      </c>
      <c r="C20" s="47" t="s">
        <v>3</v>
      </c>
      <c r="D20" t="s">
        <v>195</v>
      </c>
      <c r="E20" t="s">
        <v>179</v>
      </c>
      <c r="F20" t="s">
        <v>180</v>
      </c>
      <c r="G20" t="s">
        <v>50</v>
      </c>
      <c r="H20" t="s">
        <v>75</v>
      </c>
      <c r="I20" t="s">
        <v>77</v>
      </c>
      <c r="J20" t="s">
        <v>72</v>
      </c>
      <c r="K20">
        <v>1</v>
      </c>
    </row>
    <row r="21" spans="1:11" x14ac:dyDescent="0.3">
      <c r="A21" t="s">
        <v>30</v>
      </c>
      <c r="B21" t="s">
        <v>344</v>
      </c>
      <c r="C21" s="47" t="s">
        <v>3</v>
      </c>
      <c r="D21" t="s">
        <v>127</v>
      </c>
      <c r="E21" t="s">
        <v>192</v>
      </c>
      <c r="F21" t="s">
        <v>193</v>
      </c>
      <c r="G21" t="s">
        <v>50</v>
      </c>
      <c r="H21" t="s">
        <v>75</v>
      </c>
      <c r="I21" t="s">
        <v>77</v>
      </c>
      <c r="J21" t="s">
        <v>72</v>
      </c>
      <c r="K21">
        <v>1</v>
      </c>
    </row>
    <row r="22" spans="1:11" x14ac:dyDescent="0.3">
      <c r="A22" t="s">
        <v>30</v>
      </c>
      <c r="B22" t="s">
        <v>344</v>
      </c>
      <c r="C22" s="47" t="s">
        <v>3</v>
      </c>
      <c r="D22" t="s">
        <v>122</v>
      </c>
      <c r="E22" t="s">
        <v>192</v>
      </c>
      <c r="F22" t="s">
        <v>193</v>
      </c>
      <c r="G22" t="s">
        <v>50</v>
      </c>
      <c r="H22" t="s">
        <v>75</v>
      </c>
      <c r="I22" t="s">
        <v>77</v>
      </c>
      <c r="J22" t="s">
        <v>72</v>
      </c>
      <c r="K22">
        <v>2</v>
      </c>
    </row>
    <row r="23" spans="1:11" x14ac:dyDescent="0.3">
      <c r="A23" t="s">
        <v>30</v>
      </c>
      <c r="B23" t="s">
        <v>344</v>
      </c>
      <c r="C23" s="47" t="s">
        <v>3</v>
      </c>
      <c r="D23" t="s">
        <v>120</v>
      </c>
      <c r="E23" t="s">
        <v>192</v>
      </c>
      <c r="F23" t="s">
        <v>193</v>
      </c>
      <c r="G23" t="s">
        <v>50</v>
      </c>
      <c r="H23" t="s">
        <v>75</v>
      </c>
      <c r="I23" t="s">
        <v>77</v>
      </c>
      <c r="J23" t="s">
        <v>72</v>
      </c>
      <c r="K23">
        <v>1</v>
      </c>
    </row>
    <row r="24" spans="1:11" x14ac:dyDescent="0.3">
      <c r="A24" t="s">
        <v>30</v>
      </c>
      <c r="B24" t="s">
        <v>345</v>
      </c>
      <c r="C24" s="47" t="s">
        <v>3</v>
      </c>
      <c r="D24" t="s">
        <v>187</v>
      </c>
      <c r="E24" t="s">
        <v>346</v>
      </c>
      <c r="F24" t="s">
        <v>347</v>
      </c>
      <c r="G24" t="s">
        <v>50</v>
      </c>
      <c r="H24" t="s">
        <v>75</v>
      </c>
      <c r="I24" t="s">
        <v>77</v>
      </c>
      <c r="J24" t="s">
        <v>72</v>
      </c>
      <c r="K24">
        <v>1</v>
      </c>
    </row>
    <row r="25" spans="1:11" x14ac:dyDescent="0.3">
      <c r="A25" t="s">
        <v>30</v>
      </c>
      <c r="B25" t="s">
        <v>431</v>
      </c>
      <c r="C25" s="47" t="s">
        <v>3</v>
      </c>
      <c r="D25" t="s">
        <v>116</v>
      </c>
      <c r="E25" t="s">
        <v>117</v>
      </c>
      <c r="F25" t="s">
        <v>118</v>
      </c>
      <c r="G25" t="s">
        <v>52</v>
      </c>
      <c r="H25" t="s">
        <v>75</v>
      </c>
      <c r="I25" t="s">
        <v>77</v>
      </c>
      <c r="J25" t="s">
        <v>72</v>
      </c>
      <c r="K25">
        <v>2</v>
      </c>
    </row>
    <row r="26" spans="1:11" x14ac:dyDescent="0.3">
      <c r="A26" t="s">
        <v>30</v>
      </c>
      <c r="B26" t="s">
        <v>350</v>
      </c>
      <c r="C26" s="47" t="s">
        <v>3</v>
      </c>
      <c r="D26" t="s">
        <v>100</v>
      </c>
      <c r="E26" t="s">
        <v>101</v>
      </c>
      <c r="F26" t="s">
        <v>102</v>
      </c>
      <c r="G26" t="s">
        <v>52</v>
      </c>
      <c r="H26" t="s">
        <v>75</v>
      </c>
      <c r="I26" t="s">
        <v>77</v>
      </c>
      <c r="J26" t="s">
        <v>72</v>
      </c>
      <c r="K26">
        <v>1</v>
      </c>
    </row>
    <row r="27" spans="1:11" x14ac:dyDescent="0.3">
      <c r="A27" t="s">
        <v>30</v>
      </c>
      <c r="B27" t="s">
        <v>351</v>
      </c>
      <c r="C27" s="47" t="s">
        <v>3</v>
      </c>
      <c r="D27" t="s">
        <v>100</v>
      </c>
      <c r="E27" t="s">
        <v>101</v>
      </c>
      <c r="F27" t="s">
        <v>102</v>
      </c>
      <c r="G27" t="s">
        <v>52</v>
      </c>
      <c r="H27" t="s">
        <v>75</v>
      </c>
      <c r="I27" t="s">
        <v>77</v>
      </c>
      <c r="J27" t="s">
        <v>72</v>
      </c>
      <c r="K27">
        <v>2</v>
      </c>
    </row>
    <row r="28" spans="1:11" x14ac:dyDescent="0.3">
      <c r="A28" t="s">
        <v>30</v>
      </c>
      <c r="B28" t="s">
        <v>352</v>
      </c>
      <c r="C28" s="47" t="s">
        <v>3</v>
      </c>
      <c r="D28" t="s">
        <v>123</v>
      </c>
      <c r="E28" t="s">
        <v>217</v>
      </c>
      <c r="F28" t="s">
        <v>218</v>
      </c>
      <c r="G28" t="s">
        <v>52</v>
      </c>
      <c r="H28" t="s">
        <v>75</v>
      </c>
      <c r="I28" t="s">
        <v>77</v>
      </c>
      <c r="J28" t="s">
        <v>72</v>
      </c>
      <c r="K28">
        <v>1</v>
      </c>
    </row>
    <row r="29" spans="1:11" x14ac:dyDescent="0.3">
      <c r="A29" t="s">
        <v>30</v>
      </c>
      <c r="B29" t="s">
        <v>381</v>
      </c>
      <c r="C29" s="47" t="s">
        <v>3</v>
      </c>
      <c r="D29" t="s">
        <v>103</v>
      </c>
      <c r="E29" t="s">
        <v>104</v>
      </c>
      <c r="F29" t="s">
        <v>105</v>
      </c>
      <c r="G29" t="s">
        <v>54</v>
      </c>
      <c r="H29" t="s">
        <v>75</v>
      </c>
      <c r="I29" t="s">
        <v>77</v>
      </c>
      <c r="J29" t="s">
        <v>72</v>
      </c>
      <c r="K29">
        <v>1</v>
      </c>
    </row>
    <row r="30" spans="1:11" x14ac:dyDescent="0.3">
      <c r="A30" t="s">
        <v>30</v>
      </c>
      <c r="B30" t="s">
        <v>381</v>
      </c>
      <c r="C30" s="47" t="s">
        <v>3</v>
      </c>
      <c r="D30" t="s">
        <v>103</v>
      </c>
      <c r="E30" t="s">
        <v>104</v>
      </c>
      <c r="F30" t="s">
        <v>105</v>
      </c>
      <c r="G30" t="s">
        <v>54</v>
      </c>
      <c r="H30" t="s">
        <v>75</v>
      </c>
      <c r="I30" t="s">
        <v>77</v>
      </c>
      <c r="J30" t="s">
        <v>72</v>
      </c>
      <c r="K30">
        <v>41</v>
      </c>
    </row>
    <row r="31" spans="1:11" x14ac:dyDescent="0.3">
      <c r="A31" t="s">
        <v>30</v>
      </c>
      <c r="B31" t="s">
        <v>382</v>
      </c>
      <c r="C31" s="47" t="s">
        <v>3</v>
      </c>
      <c r="D31" t="s">
        <v>103</v>
      </c>
      <c r="E31" t="s">
        <v>161</v>
      </c>
      <c r="F31" t="s">
        <v>162</v>
      </c>
      <c r="G31" t="s">
        <v>54</v>
      </c>
      <c r="H31" t="s">
        <v>75</v>
      </c>
      <c r="I31" t="s">
        <v>77</v>
      </c>
      <c r="J31" t="s">
        <v>72</v>
      </c>
      <c r="K31">
        <v>32</v>
      </c>
    </row>
    <row r="32" spans="1:11" x14ac:dyDescent="0.3">
      <c r="A32" s="46" t="s">
        <v>222</v>
      </c>
      <c r="B32" s="46"/>
      <c r="C32" s="47" t="s">
        <v>3</v>
      </c>
      <c r="D32" s="46"/>
      <c r="E32" s="46"/>
      <c r="F32" s="46"/>
      <c r="G32" s="46" t="s">
        <v>45</v>
      </c>
    </row>
    <row r="33" spans="1:7" x14ac:dyDescent="0.3">
      <c r="A33" s="46" t="s">
        <v>222</v>
      </c>
      <c r="B33" s="46"/>
      <c r="C33" s="47" t="s">
        <v>56</v>
      </c>
      <c r="D33" s="46"/>
      <c r="E33" s="46"/>
      <c r="F33" s="46"/>
      <c r="G33" s="46" t="s">
        <v>46</v>
      </c>
    </row>
    <row r="34" spans="1:7" x14ac:dyDescent="0.3">
      <c r="A34" s="46" t="s">
        <v>222</v>
      </c>
      <c r="B34" s="46"/>
      <c r="C34" s="47" t="s">
        <v>57</v>
      </c>
      <c r="D34" s="46"/>
      <c r="E34" s="46"/>
      <c r="F34" s="46"/>
      <c r="G34" s="46" t="s">
        <v>47</v>
      </c>
    </row>
    <row r="35" spans="1:7" x14ac:dyDescent="0.3">
      <c r="A35" s="46" t="s">
        <v>222</v>
      </c>
      <c r="B35" s="46"/>
      <c r="C35" s="47" t="s">
        <v>58</v>
      </c>
      <c r="D35" s="46"/>
      <c r="E35" s="46"/>
      <c r="F35" s="46"/>
      <c r="G35" s="46" t="s">
        <v>48</v>
      </c>
    </row>
    <row r="36" spans="1:7" x14ac:dyDescent="0.3">
      <c r="A36" s="46" t="s">
        <v>222</v>
      </c>
      <c r="B36" s="46"/>
      <c r="C36" s="47" t="s">
        <v>59</v>
      </c>
      <c r="D36" s="46"/>
      <c r="E36" s="46"/>
      <c r="F36" s="46"/>
      <c r="G36" s="46" t="s">
        <v>49</v>
      </c>
    </row>
    <row r="37" spans="1:7" x14ac:dyDescent="0.3">
      <c r="A37" s="46" t="s">
        <v>222</v>
      </c>
      <c r="B37" s="46"/>
      <c r="C37" s="47" t="s">
        <v>7</v>
      </c>
      <c r="D37" s="46"/>
      <c r="E37" s="46"/>
      <c r="F37" s="46"/>
      <c r="G37" s="46" t="s">
        <v>50</v>
      </c>
    </row>
    <row r="38" spans="1:7" x14ac:dyDescent="0.3">
      <c r="A38" s="46" t="s">
        <v>222</v>
      </c>
      <c r="B38" s="46"/>
      <c r="C38" s="47" t="s">
        <v>9</v>
      </c>
      <c r="D38" s="46"/>
      <c r="E38" s="46"/>
      <c r="F38" s="46"/>
      <c r="G38" s="46" t="s">
        <v>51</v>
      </c>
    </row>
    <row r="39" spans="1:7" x14ac:dyDescent="0.3">
      <c r="A39" s="46" t="s">
        <v>222</v>
      </c>
      <c r="B39" s="46"/>
      <c r="C39" s="47" t="s">
        <v>60</v>
      </c>
      <c r="D39" s="46"/>
      <c r="E39" s="46"/>
      <c r="F39" s="46"/>
      <c r="G39" s="46" t="s">
        <v>52</v>
      </c>
    </row>
    <row r="40" spans="1:7" x14ac:dyDescent="0.3">
      <c r="A40" s="46" t="s">
        <v>222</v>
      </c>
      <c r="B40" s="46"/>
      <c r="C40" s="47" t="s">
        <v>11</v>
      </c>
      <c r="D40" s="46"/>
      <c r="E40" s="46"/>
      <c r="F40" s="46"/>
      <c r="G40" s="46" t="s">
        <v>53</v>
      </c>
    </row>
    <row r="41" spans="1:7" x14ac:dyDescent="0.3">
      <c r="A41" s="46" t="s">
        <v>222</v>
      </c>
      <c r="B41" s="46"/>
      <c r="C41" s="47" t="s">
        <v>11</v>
      </c>
      <c r="D41" s="46"/>
      <c r="E41" s="46"/>
      <c r="F41" s="46"/>
      <c r="G41" s="46" t="s">
        <v>78</v>
      </c>
    </row>
    <row r="42" spans="1:7" x14ac:dyDescent="0.3">
      <c r="A42" s="46" t="s">
        <v>222</v>
      </c>
      <c r="B42" s="46"/>
      <c r="C42" s="47" t="s">
        <v>11</v>
      </c>
      <c r="D42" s="46"/>
      <c r="E42" s="46"/>
      <c r="F42" s="46"/>
      <c r="G42" s="46" t="s">
        <v>54</v>
      </c>
    </row>
    <row r="43" spans="1:7" x14ac:dyDescent="0.3">
      <c r="A43" s="46" t="s">
        <v>30</v>
      </c>
      <c r="B43" s="46"/>
      <c r="C43" s="47" t="s">
        <v>3</v>
      </c>
      <c r="D43" s="46"/>
      <c r="E43" s="46"/>
      <c r="F43" s="46"/>
      <c r="G43" s="46" t="s">
        <v>45</v>
      </c>
    </row>
    <row r="44" spans="1:7" x14ac:dyDescent="0.3">
      <c r="A44" s="46" t="s">
        <v>30</v>
      </c>
      <c r="B44" s="46"/>
      <c r="C44" s="47" t="s">
        <v>56</v>
      </c>
      <c r="D44" s="46"/>
      <c r="E44" s="46"/>
      <c r="F44" s="46"/>
      <c r="G44" s="46" t="s">
        <v>46</v>
      </c>
    </row>
    <row r="45" spans="1:7" x14ac:dyDescent="0.3">
      <c r="A45" s="46" t="s">
        <v>30</v>
      </c>
      <c r="B45" s="46"/>
      <c r="C45" s="47" t="s">
        <v>57</v>
      </c>
      <c r="D45" s="46"/>
      <c r="E45" s="46"/>
      <c r="F45" s="46"/>
      <c r="G45" s="46" t="s">
        <v>47</v>
      </c>
    </row>
    <row r="46" spans="1:7" x14ac:dyDescent="0.3">
      <c r="A46" s="46" t="s">
        <v>30</v>
      </c>
      <c r="B46" s="46"/>
      <c r="C46" s="47" t="s">
        <v>58</v>
      </c>
      <c r="D46" s="46"/>
      <c r="E46" s="46"/>
      <c r="F46" s="46"/>
      <c r="G46" s="46" t="s">
        <v>48</v>
      </c>
    </row>
    <row r="47" spans="1:7" x14ac:dyDescent="0.3">
      <c r="A47" s="46" t="s">
        <v>30</v>
      </c>
      <c r="B47" s="46"/>
      <c r="C47" s="47" t="s">
        <v>59</v>
      </c>
      <c r="D47" s="46"/>
      <c r="E47" s="46"/>
      <c r="F47" s="46"/>
      <c r="G47" s="46" t="s">
        <v>49</v>
      </c>
    </row>
    <row r="48" spans="1:7" x14ac:dyDescent="0.3">
      <c r="A48" s="46" t="s">
        <v>30</v>
      </c>
      <c r="B48" s="46"/>
      <c r="C48" s="47" t="s">
        <v>7</v>
      </c>
      <c r="D48" s="46"/>
      <c r="E48" s="46"/>
      <c r="F48" s="46"/>
      <c r="G48" s="46" t="s">
        <v>50</v>
      </c>
    </row>
    <row r="49" spans="1:7" x14ac:dyDescent="0.3">
      <c r="A49" s="46" t="s">
        <v>30</v>
      </c>
      <c r="B49" s="46"/>
      <c r="C49" s="47" t="s">
        <v>9</v>
      </c>
      <c r="D49" s="46"/>
      <c r="E49" s="46"/>
      <c r="F49" s="46"/>
      <c r="G49" s="46" t="s">
        <v>51</v>
      </c>
    </row>
    <row r="50" spans="1:7" x14ac:dyDescent="0.3">
      <c r="A50" s="46" t="s">
        <v>30</v>
      </c>
      <c r="B50" s="46"/>
      <c r="C50" s="47" t="s">
        <v>60</v>
      </c>
      <c r="D50" s="46"/>
      <c r="E50" s="46"/>
      <c r="F50" s="46"/>
      <c r="G50" s="46" t="s">
        <v>52</v>
      </c>
    </row>
    <row r="51" spans="1:7" x14ac:dyDescent="0.3">
      <c r="A51" s="46" t="s">
        <v>30</v>
      </c>
      <c r="B51" s="46"/>
      <c r="C51" s="47" t="s">
        <v>11</v>
      </c>
      <c r="D51" s="46"/>
      <c r="E51" s="46"/>
      <c r="F51" s="46"/>
      <c r="G51" s="46" t="s">
        <v>53</v>
      </c>
    </row>
    <row r="52" spans="1:7" x14ac:dyDescent="0.3">
      <c r="A52" s="46" t="s">
        <v>30</v>
      </c>
      <c r="B52" s="46"/>
      <c r="C52" s="47" t="s">
        <v>11</v>
      </c>
      <c r="D52" s="46"/>
      <c r="E52" s="46"/>
      <c r="F52" s="46"/>
      <c r="G52" s="46" t="s">
        <v>54</v>
      </c>
    </row>
    <row r="53" spans="1:7" x14ac:dyDescent="0.3">
      <c r="A53" s="46" t="s">
        <v>30</v>
      </c>
      <c r="B53" s="46"/>
      <c r="C53" s="47" t="s">
        <v>11</v>
      </c>
      <c r="D53" s="46"/>
      <c r="E53" s="46"/>
      <c r="F53" s="46"/>
      <c r="G53" s="46" t="s">
        <v>78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0C831-AF46-41B5-B1BB-6D19BB93C23F}">
  <dimension ref="A3:D41"/>
  <sheetViews>
    <sheetView workbookViewId="0"/>
  </sheetViews>
  <sheetFormatPr defaultRowHeight="14.4" x14ac:dyDescent="0.3"/>
  <cols>
    <col min="1" max="1" width="35.44140625" bestFit="1" customWidth="1"/>
    <col min="2" max="2" width="15.5546875" bestFit="1" customWidth="1"/>
    <col min="3" max="3" width="4.33203125" bestFit="1" customWidth="1"/>
    <col min="4" max="4" width="10.77734375" bestFit="1" customWidth="1"/>
  </cols>
  <sheetData>
    <row r="3" spans="1:4" x14ac:dyDescent="0.3">
      <c r="A3" s="48" t="s">
        <v>394</v>
      </c>
      <c r="B3" s="48" t="s">
        <v>393</v>
      </c>
    </row>
    <row r="4" spans="1:4" x14ac:dyDescent="0.3">
      <c r="A4" s="48" t="s">
        <v>391</v>
      </c>
      <c r="B4" t="s">
        <v>72</v>
      </c>
      <c r="C4" t="s">
        <v>44</v>
      </c>
      <c r="D4" t="s">
        <v>392</v>
      </c>
    </row>
    <row r="5" spans="1:4" x14ac:dyDescent="0.3">
      <c r="A5" s="49" t="s">
        <v>73</v>
      </c>
      <c r="B5" s="51">
        <v>14</v>
      </c>
      <c r="C5" s="51">
        <v>235</v>
      </c>
      <c r="D5" s="51">
        <v>249</v>
      </c>
    </row>
    <row r="6" spans="1:4" x14ac:dyDescent="0.3">
      <c r="A6" s="50" t="s">
        <v>47</v>
      </c>
      <c r="B6" s="51"/>
      <c r="C6" s="51"/>
      <c r="D6" s="51"/>
    </row>
    <row r="7" spans="1:4" x14ac:dyDescent="0.3">
      <c r="A7" s="50" t="s">
        <v>45</v>
      </c>
      <c r="B7" s="51">
        <v>6</v>
      </c>
      <c r="C7" s="51">
        <v>20</v>
      </c>
      <c r="D7" s="51">
        <v>26</v>
      </c>
    </row>
    <row r="8" spans="1:4" x14ac:dyDescent="0.3">
      <c r="A8" s="50" t="s">
        <v>46</v>
      </c>
      <c r="B8" s="51">
        <v>1</v>
      </c>
      <c r="C8" s="51">
        <v>58</v>
      </c>
      <c r="D8" s="51">
        <v>59</v>
      </c>
    </row>
    <row r="9" spans="1:4" x14ac:dyDescent="0.3">
      <c r="A9" s="50" t="s">
        <v>48</v>
      </c>
      <c r="B9" s="51"/>
      <c r="C9" s="51">
        <v>1</v>
      </c>
      <c r="D9" s="51">
        <v>1</v>
      </c>
    </row>
    <row r="10" spans="1:4" x14ac:dyDescent="0.3">
      <c r="A10" s="50" t="s">
        <v>49</v>
      </c>
      <c r="B10" s="51"/>
      <c r="C10" s="51"/>
      <c r="D10" s="51"/>
    </row>
    <row r="11" spans="1:4" x14ac:dyDescent="0.3">
      <c r="A11" s="50" t="s">
        <v>50</v>
      </c>
      <c r="B11" s="51"/>
      <c r="C11" s="51">
        <v>1</v>
      </c>
      <c r="D11" s="51">
        <v>1</v>
      </c>
    </row>
    <row r="12" spans="1:4" x14ac:dyDescent="0.3">
      <c r="A12" s="50" t="s">
        <v>51</v>
      </c>
      <c r="B12" s="51"/>
      <c r="C12" s="51"/>
      <c r="D12" s="51"/>
    </row>
    <row r="13" spans="1:4" x14ac:dyDescent="0.3">
      <c r="A13" s="50" t="s">
        <v>52</v>
      </c>
      <c r="B13" s="51">
        <v>5</v>
      </c>
      <c r="C13" s="51">
        <v>154</v>
      </c>
      <c r="D13" s="51">
        <v>159</v>
      </c>
    </row>
    <row r="14" spans="1:4" x14ac:dyDescent="0.3">
      <c r="A14" s="50" t="s">
        <v>53</v>
      </c>
      <c r="B14" s="51"/>
      <c r="C14" s="51"/>
      <c r="D14" s="51"/>
    </row>
    <row r="15" spans="1:4" x14ac:dyDescent="0.3">
      <c r="A15" s="50" t="s">
        <v>78</v>
      </c>
      <c r="B15" s="51"/>
      <c r="C15" s="51"/>
      <c r="D15" s="51"/>
    </row>
    <row r="16" spans="1:4" x14ac:dyDescent="0.3">
      <c r="A16" s="50" t="s">
        <v>54</v>
      </c>
      <c r="B16" s="51">
        <v>2</v>
      </c>
      <c r="C16" s="51">
        <v>1</v>
      </c>
      <c r="D16" s="51">
        <v>3</v>
      </c>
    </row>
    <row r="17" spans="1:4" x14ac:dyDescent="0.3">
      <c r="A17" s="49" t="s">
        <v>70</v>
      </c>
      <c r="B17" s="51">
        <v>1</v>
      </c>
      <c r="C17" s="51">
        <v>7</v>
      </c>
      <c r="D17" s="51">
        <v>8</v>
      </c>
    </row>
    <row r="18" spans="1:4" x14ac:dyDescent="0.3">
      <c r="A18" s="50" t="s">
        <v>47</v>
      </c>
      <c r="B18" s="51"/>
      <c r="C18" s="51"/>
      <c r="D18" s="51"/>
    </row>
    <row r="19" spans="1:4" x14ac:dyDescent="0.3">
      <c r="A19" s="50" t="s">
        <v>45</v>
      </c>
      <c r="B19" s="51"/>
      <c r="C19" s="51"/>
      <c r="D19" s="51"/>
    </row>
    <row r="20" spans="1:4" x14ac:dyDescent="0.3">
      <c r="A20" s="50" t="s">
        <v>46</v>
      </c>
      <c r="B20" s="51"/>
      <c r="C20" s="51"/>
      <c r="D20" s="51"/>
    </row>
    <row r="21" spans="1:4" x14ac:dyDescent="0.3">
      <c r="A21" s="50" t="s">
        <v>48</v>
      </c>
      <c r="B21" s="51"/>
      <c r="C21" s="51"/>
      <c r="D21" s="51"/>
    </row>
    <row r="22" spans="1:4" x14ac:dyDescent="0.3">
      <c r="A22" s="50" t="s">
        <v>49</v>
      </c>
      <c r="B22" s="51"/>
      <c r="C22" s="51"/>
      <c r="D22" s="51"/>
    </row>
    <row r="23" spans="1:4" x14ac:dyDescent="0.3">
      <c r="A23" s="50" t="s">
        <v>50</v>
      </c>
      <c r="B23" s="51"/>
      <c r="C23" s="51"/>
      <c r="D23" s="51"/>
    </row>
    <row r="24" spans="1:4" x14ac:dyDescent="0.3">
      <c r="A24" s="50" t="s">
        <v>51</v>
      </c>
      <c r="B24" s="51"/>
      <c r="C24" s="51"/>
      <c r="D24" s="51"/>
    </row>
    <row r="25" spans="1:4" x14ac:dyDescent="0.3">
      <c r="A25" s="50" t="s">
        <v>52</v>
      </c>
      <c r="B25" s="51">
        <v>1</v>
      </c>
      <c r="C25" s="51">
        <v>7</v>
      </c>
      <c r="D25" s="51">
        <v>8</v>
      </c>
    </row>
    <row r="26" spans="1:4" x14ac:dyDescent="0.3">
      <c r="A26" s="50" t="s">
        <v>53</v>
      </c>
      <c r="B26" s="51"/>
      <c r="C26" s="51"/>
      <c r="D26" s="51"/>
    </row>
    <row r="27" spans="1:4" x14ac:dyDescent="0.3">
      <c r="A27" s="50" t="s">
        <v>78</v>
      </c>
      <c r="B27" s="51"/>
      <c r="C27" s="51"/>
      <c r="D27" s="51"/>
    </row>
    <row r="28" spans="1:4" x14ac:dyDescent="0.3">
      <c r="A28" s="50" t="s">
        <v>54</v>
      </c>
      <c r="B28" s="51"/>
      <c r="C28" s="51"/>
      <c r="D28" s="51"/>
    </row>
    <row r="29" spans="1:4" x14ac:dyDescent="0.3">
      <c r="A29" s="49" t="s">
        <v>75</v>
      </c>
      <c r="B29" s="51">
        <v>113</v>
      </c>
      <c r="C29" s="51">
        <v>3</v>
      </c>
      <c r="D29" s="51">
        <v>116</v>
      </c>
    </row>
    <row r="30" spans="1:4" x14ac:dyDescent="0.3">
      <c r="A30" s="50" t="s">
        <v>47</v>
      </c>
      <c r="B30" s="51"/>
      <c r="C30" s="51"/>
      <c r="D30" s="51"/>
    </row>
    <row r="31" spans="1:4" x14ac:dyDescent="0.3">
      <c r="A31" s="50" t="s">
        <v>45</v>
      </c>
      <c r="B31" s="51"/>
      <c r="C31" s="51">
        <v>2</v>
      </c>
      <c r="D31" s="51">
        <v>2</v>
      </c>
    </row>
    <row r="32" spans="1:4" x14ac:dyDescent="0.3">
      <c r="A32" s="50" t="s">
        <v>46</v>
      </c>
      <c r="B32" s="51">
        <v>2</v>
      </c>
      <c r="C32" s="51"/>
      <c r="D32" s="51">
        <v>2</v>
      </c>
    </row>
    <row r="33" spans="1:4" x14ac:dyDescent="0.3">
      <c r="A33" s="50" t="s">
        <v>48</v>
      </c>
      <c r="B33" s="51"/>
      <c r="C33" s="51"/>
      <c r="D33" s="51"/>
    </row>
    <row r="34" spans="1:4" x14ac:dyDescent="0.3">
      <c r="A34" s="50" t="s">
        <v>49</v>
      </c>
      <c r="B34" s="51">
        <v>4</v>
      </c>
      <c r="C34" s="51">
        <v>1</v>
      </c>
      <c r="D34" s="51">
        <v>5</v>
      </c>
    </row>
    <row r="35" spans="1:4" x14ac:dyDescent="0.3">
      <c r="A35" s="50" t="s">
        <v>50</v>
      </c>
      <c r="B35" s="51">
        <v>27</v>
      </c>
      <c r="C35" s="51"/>
      <c r="D35" s="51">
        <v>27</v>
      </c>
    </row>
    <row r="36" spans="1:4" x14ac:dyDescent="0.3">
      <c r="A36" s="50" t="s">
        <v>51</v>
      </c>
      <c r="B36" s="51"/>
      <c r="C36" s="51"/>
      <c r="D36" s="51"/>
    </row>
    <row r="37" spans="1:4" x14ac:dyDescent="0.3">
      <c r="A37" s="50" t="s">
        <v>52</v>
      </c>
      <c r="B37" s="51">
        <v>6</v>
      </c>
      <c r="C37" s="51"/>
      <c r="D37" s="51">
        <v>6</v>
      </c>
    </row>
    <row r="38" spans="1:4" x14ac:dyDescent="0.3">
      <c r="A38" s="50" t="s">
        <v>53</v>
      </c>
      <c r="B38" s="51"/>
      <c r="C38" s="51"/>
      <c r="D38" s="51"/>
    </row>
    <row r="39" spans="1:4" x14ac:dyDescent="0.3">
      <c r="A39" s="50" t="s">
        <v>78</v>
      </c>
      <c r="B39" s="51"/>
      <c r="C39" s="51"/>
      <c r="D39" s="51"/>
    </row>
    <row r="40" spans="1:4" x14ac:dyDescent="0.3">
      <c r="A40" s="50" t="s">
        <v>54</v>
      </c>
      <c r="B40" s="51">
        <v>74</v>
      </c>
      <c r="C40" s="51"/>
      <c r="D40" s="51">
        <v>74</v>
      </c>
    </row>
    <row r="41" spans="1:4" x14ac:dyDescent="0.3">
      <c r="A41" s="49" t="s">
        <v>392</v>
      </c>
      <c r="B41" s="51">
        <v>128</v>
      </c>
      <c r="C41" s="51">
        <v>245</v>
      </c>
      <c r="D41" s="51">
        <v>373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8EBCF-7769-40BD-9ADB-E5AD874C71B7}">
  <sheetPr codeName="Sheet4"/>
  <dimension ref="A1:K175"/>
  <sheetViews>
    <sheetView topLeftCell="A79" workbookViewId="0">
      <selection activeCell="I91" sqref="I91"/>
    </sheetView>
  </sheetViews>
  <sheetFormatPr defaultRowHeight="14.4" x14ac:dyDescent="0.3"/>
  <sheetData>
    <row r="1" spans="1:11" x14ac:dyDescent="0.3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  <c r="H1" t="s">
        <v>87</v>
      </c>
      <c r="I1" t="s">
        <v>88</v>
      </c>
      <c r="J1" t="s">
        <v>89</v>
      </c>
      <c r="K1" t="s">
        <v>90</v>
      </c>
    </row>
    <row r="2" spans="1:11" x14ac:dyDescent="0.3">
      <c r="B2" t="s">
        <v>223</v>
      </c>
      <c r="C2" t="s">
        <v>224</v>
      </c>
      <c r="D2" t="s">
        <v>119</v>
      </c>
      <c r="E2" t="s">
        <v>152</v>
      </c>
      <c r="F2" t="s">
        <v>153</v>
      </c>
      <c r="G2" t="s">
        <v>45</v>
      </c>
      <c r="H2" t="s">
        <v>73</v>
      </c>
      <c r="I2" t="s">
        <v>74</v>
      </c>
      <c r="J2" t="s">
        <v>72</v>
      </c>
      <c r="K2">
        <v>1</v>
      </c>
    </row>
    <row r="3" spans="1:11" x14ac:dyDescent="0.3">
      <c r="B3" t="s">
        <v>225</v>
      </c>
      <c r="C3" t="s">
        <v>226</v>
      </c>
      <c r="D3" t="s">
        <v>124</v>
      </c>
      <c r="E3" t="s">
        <v>227</v>
      </c>
      <c r="F3" t="s">
        <v>228</v>
      </c>
      <c r="G3" t="s">
        <v>45</v>
      </c>
      <c r="H3" t="s">
        <v>73</v>
      </c>
      <c r="I3" t="s">
        <v>74</v>
      </c>
      <c r="J3" t="s">
        <v>72</v>
      </c>
      <c r="K3">
        <v>1</v>
      </c>
    </row>
    <row r="4" spans="1:11" x14ac:dyDescent="0.3">
      <c r="B4" t="s">
        <v>229</v>
      </c>
      <c r="C4" t="s">
        <v>230</v>
      </c>
      <c r="D4" t="s">
        <v>183</v>
      </c>
      <c r="E4" t="s">
        <v>231</v>
      </c>
      <c r="F4" t="s">
        <v>232</v>
      </c>
      <c r="G4" t="s">
        <v>45</v>
      </c>
      <c r="H4" t="s">
        <v>73</v>
      </c>
      <c r="I4" t="s">
        <v>74</v>
      </c>
      <c r="J4" t="s">
        <v>72</v>
      </c>
      <c r="K4">
        <v>1</v>
      </c>
    </row>
    <row r="5" spans="1:11" x14ac:dyDescent="0.3">
      <c r="B5" t="s">
        <v>233</v>
      </c>
      <c r="C5" t="s">
        <v>230</v>
      </c>
      <c r="D5" t="s">
        <v>95</v>
      </c>
      <c r="E5" t="s">
        <v>234</v>
      </c>
      <c r="F5" t="s">
        <v>235</v>
      </c>
      <c r="G5" t="s">
        <v>45</v>
      </c>
      <c r="H5" t="s">
        <v>73</v>
      </c>
      <c r="I5" t="s">
        <v>74</v>
      </c>
      <c r="J5" t="s">
        <v>72</v>
      </c>
      <c r="K5">
        <v>1</v>
      </c>
    </row>
    <row r="6" spans="1:11" x14ac:dyDescent="0.3">
      <c r="B6" t="s">
        <v>236</v>
      </c>
      <c r="C6" t="s">
        <v>224</v>
      </c>
      <c r="D6" t="s">
        <v>125</v>
      </c>
      <c r="E6" t="s">
        <v>114</v>
      </c>
      <c r="F6" t="s">
        <v>115</v>
      </c>
      <c r="G6" t="s">
        <v>45</v>
      </c>
      <c r="H6" t="s">
        <v>73</v>
      </c>
      <c r="I6" t="s">
        <v>74</v>
      </c>
      <c r="J6" t="s">
        <v>72</v>
      </c>
      <c r="K6">
        <v>1</v>
      </c>
    </row>
    <row r="7" spans="1:11" x14ac:dyDescent="0.3">
      <c r="B7" t="s">
        <v>237</v>
      </c>
      <c r="C7" t="s">
        <v>224</v>
      </c>
      <c r="D7" t="s">
        <v>140</v>
      </c>
      <c r="E7" t="s">
        <v>138</v>
      </c>
      <c r="F7" t="s">
        <v>139</v>
      </c>
      <c r="G7" t="s">
        <v>45</v>
      </c>
      <c r="H7" t="s">
        <v>73</v>
      </c>
      <c r="I7" t="s">
        <v>74</v>
      </c>
      <c r="J7" t="s">
        <v>72</v>
      </c>
      <c r="K7">
        <v>1</v>
      </c>
    </row>
    <row r="8" spans="1:11" x14ac:dyDescent="0.3">
      <c r="B8" t="s">
        <v>238</v>
      </c>
      <c r="C8" t="s">
        <v>56</v>
      </c>
      <c r="D8" t="s">
        <v>158</v>
      </c>
      <c r="E8" t="s">
        <v>239</v>
      </c>
      <c r="F8" t="s">
        <v>240</v>
      </c>
      <c r="G8" t="s">
        <v>45</v>
      </c>
      <c r="H8" t="s">
        <v>73</v>
      </c>
      <c r="I8" t="s">
        <v>74</v>
      </c>
      <c r="J8" t="s">
        <v>44</v>
      </c>
      <c r="K8">
        <v>1</v>
      </c>
    </row>
    <row r="9" spans="1:11" x14ac:dyDescent="0.3">
      <c r="B9" t="s">
        <v>241</v>
      </c>
      <c r="C9" t="s">
        <v>56</v>
      </c>
      <c r="D9" t="s">
        <v>110</v>
      </c>
      <c r="E9" t="s">
        <v>152</v>
      </c>
      <c r="F9" t="s">
        <v>153</v>
      </c>
      <c r="G9" t="s">
        <v>45</v>
      </c>
      <c r="H9" t="s">
        <v>73</v>
      </c>
      <c r="I9" t="s">
        <v>74</v>
      </c>
      <c r="J9" t="s">
        <v>44</v>
      </c>
      <c r="K9">
        <v>1</v>
      </c>
    </row>
    <row r="10" spans="1:11" x14ac:dyDescent="0.3">
      <c r="B10" t="s">
        <v>242</v>
      </c>
      <c r="C10" t="s">
        <v>56</v>
      </c>
      <c r="D10" t="s">
        <v>110</v>
      </c>
      <c r="E10" t="s">
        <v>214</v>
      </c>
      <c r="F10" t="s">
        <v>215</v>
      </c>
      <c r="G10" t="s">
        <v>45</v>
      </c>
      <c r="H10" t="s">
        <v>73</v>
      </c>
      <c r="I10" t="s">
        <v>74</v>
      </c>
      <c r="J10" t="s">
        <v>44</v>
      </c>
      <c r="K10">
        <v>1</v>
      </c>
    </row>
    <row r="11" spans="1:11" x14ac:dyDescent="0.3">
      <c r="B11" t="s">
        <v>243</v>
      </c>
      <c r="C11" t="s">
        <v>56</v>
      </c>
      <c r="D11" t="s">
        <v>177</v>
      </c>
      <c r="E11" t="s">
        <v>152</v>
      </c>
      <c r="F11" t="s">
        <v>153</v>
      </c>
      <c r="G11" t="s">
        <v>45</v>
      </c>
      <c r="H11" t="s">
        <v>73</v>
      </c>
      <c r="I11" t="s">
        <v>74</v>
      </c>
      <c r="J11" t="s">
        <v>44</v>
      </c>
      <c r="K11">
        <v>1</v>
      </c>
    </row>
    <row r="12" spans="1:11" x14ac:dyDescent="0.3">
      <c r="B12" t="s">
        <v>243</v>
      </c>
      <c r="C12" t="s">
        <v>56</v>
      </c>
      <c r="D12" t="s">
        <v>148</v>
      </c>
      <c r="E12" t="s">
        <v>152</v>
      </c>
      <c r="F12" t="s">
        <v>153</v>
      </c>
      <c r="G12" t="s">
        <v>45</v>
      </c>
      <c r="H12" t="s">
        <v>73</v>
      </c>
      <c r="I12" t="s">
        <v>74</v>
      </c>
      <c r="J12" t="s">
        <v>44</v>
      </c>
      <c r="K12">
        <v>1</v>
      </c>
    </row>
    <row r="13" spans="1:11" x14ac:dyDescent="0.3">
      <c r="B13" t="s">
        <v>244</v>
      </c>
      <c r="C13" t="s">
        <v>56</v>
      </c>
      <c r="D13" t="s">
        <v>141</v>
      </c>
      <c r="E13" t="s">
        <v>245</v>
      </c>
      <c r="F13" t="s">
        <v>246</v>
      </c>
      <c r="G13" t="s">
        <v>45</v>
      </c>
      <c r="H13" t="s">
        <v>73</v>
      </c>
      <c r="I13" t="s">
        <v>74</v>
      </c>
      <c r="J13" t="s">
        <v>44</v>
      </c>
      <c r="K13">
        <v>1</v>
      </c>
    </row>
    <row r="14" spans="1:11" x14ac:dyDescent="0.3">
      <c r="B14" t="s">
        <v>247</v>
      </c>
      <c r="C14" t="s">
        <v>56</v>
      </c>
      <c r="D14" t="s">
        <v>145</v>
      </c>
      <c r="E14" t="s">
        <v>146</v>
      </c>
      <c r="F14" t="s">
        <v>147</v>
      </c>
      <c r="G14" t="s">
        <v>45</v>
      </c>
      <c r="H14" t="s">
        <v>73</v>
      </c>
      <c r="I14" t="s">
        <v>74</v>
      </c>
      <c r="J14" t="s">
        <v>44</v>
      </c>
      <c r="K14">
        <v>1</v>
      </c>
    </row>
    <row r="15" spans="1:11" x14ac:dyDescent="0.3">
      <c r="B15" t="s">
        <v>248</v>
      </c>
      <c r="C15" t="s">
        <v>56</v>
      </c>
      <c r="D15" t="s">
        <v>145</v>
      </c>
      <c r="E15" t="s">
        <v>98</v>
      </c>
      <c r="F15" t="s">
        <v>156</v>
      </c>
      <c r="G15" t="s">
        <v>45</v>
      </c>
      <c r="H15" t="s">
        <v>73</v>
      </c>
      <c r="I15" t="s">
        <v>74</v>
      </c>
      <c r="J15" t="s">
        <v>44</v>
      </c>
      <c r="K15">
        <v>1</v>
      </c>
    </row>
    <row r="16" spans="1:11" x14ac:dyDescent="0.3">
      <c r="B16" t="s">
        <v>249</v>
      </c>
      <c r="C16" t="s">
        <v>56</v>
      </c>
      <c r="D16" t="s">
        <v>110</v>
      </c>
      <c r="E16" t="s">
        <v>152</v>
      </c>
      <c r="F16" t="s">
        <v>153</v>
      </c>
      <c r="G16" t="s">
        <v>45</v>
      </c>
      <c r="H16" t="s">
        <v>73</v>
      </c>
      <c r="I16" t="s">
        <v>74</v>
      </c>
      <c r="J16" t="s">
        <v>44</v>
      </c>
      <c r="K16">
        <v>1</v>
      </c>
    </row>
    <row r="17" spans="2:11" x14ac:dyDescent="0.3">
      <c r="B17" t="s">
        <v>250</v>
      </c>
      <c r="C17" t="s">
        <v>56</v>
      </c>
      <c r="D17" t="s">
        <v>110</v>
      </c>
      <c r="E17" t="s">
        <v>96</v>
      </c>
      <c r="F17" t="s">
        <v>97</v>
      </c>
      <c r="G17" t="s">
        <v>45</v>
      </c>
      <c r="H17" t="s">
        <v>73</v>
      </c>
      <c r="I17" t="s">
        <v>74</v>
      </c>
      <c r="J17" t="s">
        <v>44</v>
      </c>
      <c r="K17">
        <v>2</v>
      </c>
    </row>
    <row r="18" spans="2:11" x14ac:dyDescent="0.3">
      <c r="B18" t="s">
        <v>250</v>
      </c>
      <c r="C18" t="s">
        <v>56</v>
      </c>
      <c r="D18" t="s">
        <v>145</v>
      </c>
      <c r="E18" t="s">
        <v>96</v>
      </c>
      <c r="F18" t="s">
        <v>97</v>
      </c>
      <c r="G18" t="s">
        <v>45</v>
      </c>
      <c r="H18" t="s">
        <v>73</v>
      </c>
      <c r="I18" t="s">
        <v>74</v>
      </c>
      <c r="J18" t="s">
        <v>44</v>
      </c>
      <c r="K18">
        <v>1</v>
      </c>
    </row>
    <row r="19" spans="2:11" x14ac:dyDescent="0.3">
      <c r="B19" t="s">
        <v>251</v>
      </c>
      <c r="C19" t="s">
        <v>56</v>
      </c>
      <c r="D19" t="s">
        <v>110</v>
      </c>
      <c r="E19" t="s">
        <v>98</v>
      </c>
      <c r="F19" t="s">
        <v>99</v>
      </c>
      <c r="G19" t="s">
        <v>45</v>
      </c>
      <c r="H19" t="s">
        <v>73</v>
      </c>
      <c r="I19" t="s">
        <v>74</v>
      </c>
      <c r="J19" t="s">
        <v>44</v>
      </c>
      <c r="K19">
        <v>1</v>
      </c>
    </row>
    <row r="20" spans="2:11" x14ac:dyDescent="0.3">
      <c r="B20" t="s">
        <v>252</v>
      </c>
      <c r="C20" t="s">
        <v>56</v>
      </c>
      <c r="D20" t="s">
        <v>108</v>
      </c>
      <c r="E20" t="s">
        <v>253</v>
      </c>
      <c r="F20" t="s">
        <v>254</v>
      </c>
      <c r="G20" t="s">
        <v>45</v>
      </c>
      <c r="H20" t="s">
        <v>73</v>
      </c>
      <c r="I20" t="s">
        <v>74</v>
      </c>
      <c r="J20" t="s">
        <v>44</v>
      </c>
      <c r="K20">
        <v>1</v>
      </c>
    </row>
    <row r="21" spans="2:11" x14ac:dyDescent="0.3">
      <c r="B21" t="s">
        <v>255</v>
      </c>
      <c r="C21" t="s">
        <v>56</v>
      </c>
      <c r="D21" t="s">
        <v>110</v>
      </c>
      <c r="E21" t="s">
        <v>152</v>
      </c>
      <c r="F21" t="s">
        <v>153</v>
      </c>
      <c r="G21" t="s">
        <v>45</v>
      </c>
      <c r="H21" t="s">
        <v>73</v>
      </c>
      <c r="I21" t="s">
        <v>74</v>
      </c>
      <c r="J21" t="s">
        <v>44</v>
      </c>
      <c r="K21">
        <v>2</v>
      </c>
    </row>
    <row r="22" spans="2:11" x14ac:dyDescent="0.3">
      <c r="B22" t="s">
        <v>256</v>
      </c>
      <c r="C22" t="s">
        <v>56</v>
      </c>
      <c r="D22" t="s">
        <v>108</v>
      </c>
      <c r="E22" t="s">
        <v>257</v>
      </c>
      <c r="F22" t="s">
        <v>258</v>
      </c>
      <c r="G22" t="s">
        <v>45</v>
      </c>
      <c r="H22" t="s">
        <v>73</v>
      </c>
      <c r="I22" t="s">
        <v>74</v>
      </c>
      <c r="J22" t="s">
        <v>44</v>
      </c>
      <c r="K22">
        <v>1</v>
      </c>
    </row>
    <row r="23" spans="2:11" x14ac:dyDescent="0.3">
      <c r="B23" t="s">
        <v>259</v>
      </c>
      <c r="C23" t="s">
        <v>260</v>
      </c>
      <c r="D23" t="s">
        <v>116</v>
      </c>
      <c r="E23" t="s">
        <v>117</v>
      </c>
      <c r="F23" t="s">
        <v>118</v>
      </c>
      <c r="G23" t="s">
        <v>45</v>
      </c>
      <c r="H23" t="s">
        <v>75</v>
      </c>
      <c r="I23" t="s">
        <v>77</v>
      </c>
      <c r="J23" t="s">
        <v>44</v>
      </c>
      <c r="K23">
        <v>1</v>
      </c>
    </row>
    <row r="24" spans="2:11" x14ac:dyDescent="0.3">
      <c r="B24" t="s">
        <v>261</v>
      </c>
      <c r="C24" t="s">
        <v>57</v>
      </c>
      <c r="D24" t="s">
        <v>103</v>
      </c>
      <c r="E24" t="s">
        <v>161</v>
      </c>
      <c r="F24" t="s">
        <v>162</v>
      </c>
      <c r="G24" t="s">
        <v>45</v>
      </c>
      <c r="H24" t="s">
        <v>73</v>
      </c>
      <c r="I24" t="s">
        <v>74</v>
      </c>
      <c r="J24" t="s">
        <v>44</v>
      </c>
      <c r="K24">
        <v>1</v>
      </c>
    </row>
    <row r="25" spans="2:11" x14ac:dyDescent="0.3">
      <c r="B25" t="s">
        <v>262</v>
      </c>
      <c r="C25" t="s">
        <v>57</v>
      </c>
      <c r="D25" t="s">
        <v>112</v>
      </c>
      <c r="E25" t="s">
        <v>96</v>
      </c>
      <c r="F25" t="s">
        <v>97</v>
      </c>
      <c r="G25" t="s">
        <v>45</v>
      </c>
      <c r="H25" t="s">
        <v>73</v>
      </c>
      <c r="I25" t="s">
        <v>74</v>
      </c>
      <c r="J25" t="s">
        <v>44</v>
      </c>
      <c r="K25">
        <v>1</v>
      </c>
    </row>
    <row r="26" spans="2:11" x14ac:dyDescent="0.3">
      <c r="B26" t="s">
        <v>421</v>
      </c>
      <c r="C26" t="s">
        <v>60</v>
      </c>
      <c r="D26" t="s">
        <v>422</v>
      </c>
      <c r="E26" t="s">
        <v>154</v>
      </c>
      <c r="F26" t="s">
        <v>155</v>
      </c>
      <c r="G26" t="s">
        <v>45</v>
      </c>
      <c r="H26" t="s">
        <v>75</v>
      </c>
      <c r="I26" t="s">
        <v>77</v>
      </c>
      <c r="J26" t="s">
        <v>44</v>
      </c>
      <c r="K26">
        <v>1</v>
      </c>
    </row>
    <row r="27" spans="2:11" x14ac:dyDescent="0.3">
      <c r="B27" t="s">
        <v>263</v>
      </c>
      <c r="C27" t="s">
        <v>11</v>
      </c>
      <c r="D27" t="s">
        <v>199</v>
      </c>
      <c r="E27" t="s">
        <v>154</v>
      </c>
      <c r="F27" t="s">
        <v>155</v>
      </c>
      <c r="G27" t="s">
        <v>45</v>
      </c>
      <c r="H27" t="s">
        <v>73</v>
      </c>
      <c r="I27" t="s">
        <v>74</v>
      </c>
      <c r="J27" t="s">
        <v>44</v>
      </c>
      <c r="K27">
        <v>1</v>
      </c>
    </row>
    <row r="28" spans="2:11" x14ac:dyDescent="0.3">
      <c r="B28" t="s">
        <v>264</v>
      </c>
      <c r="C28" t="s">
        <v>226</v>
      </c>
      <c r="D28" t="s">
        <v>120</v>
      </c>
      <c r="E28" t="s">
        <v>111</v>
      </c>
      <c r="F28" t="s">
        <v>176</v>
      </c>
      <c r="G28" t="s">
        <v>46</v>
      </c>
      <c r="H28" t="s">
        <v>75</v>
      </c>
      <c r="I28" t="s">
        <v>77</v>
      </c>
      <c r="J28" t="s">
        <v>72</v>
      </c>
      <c r="K28">
        <v>1</v>
      </c>
    </row>
    <row r="29" spans="2:11" x14ac:dyDescent="0.3">
      <c r="B29" t="s">
        <v>265</v>
      </c>
      <c r="C29" t="s">
        <v>226</v>
      </c>
      <c r="D29" t="s">
        <v>121</v>
      </c>
      <c r="E29" t="s">
        <v>266</v>
      </c>
      <c r="F29" t="s">
        <v>267</v>
      </c>
      <c r="G29" t="s">
        <v>46</v>
      </c>
      <c r="H29" t="s">
        <v>75</v>
      </c>
      <c r="I29" t="s">
        <v>77</v>
      </c>
      <c r="J29" t="s">
        <v>72</v>
      </c>
      <c r="K29">
        <v>1</v>
      </c>
    </row>
    <row r="30" spans="2:11" x14ac:dyDescent="0.3">
      <c r="B30" t="s">
        <v>268</v>
      </c>
      <c r="C30" t="s">
        <v>224</v>
      </c>
      <c r="D30" t="s">
        <v>100</v>
      </c>
      <c r="E30" t="s">
        <v>269</v>
      </c>
      <c r="F30" t="s">
        <v>270</v>
      </c>
      <c r="G30" t="s">
        <v>46</v>
      </c>
      <c r="H30" t="s">
        <v>73</v>
      </c>
      <c r="I30" t="s">
        <v>74</v>
      </c>
      <c r="J30" t="s">
        <v>72</v>
      </c>
      <c r="K30">
        <v>1</v>
      </c>
    </row>
    <row r="31" spans="2:11" x14ac:dyDescent="0.3">
      <c r="B31" t="s">
        <v>271</v>
      </c>
      <c r="C31" t="s">
        <v>56</v>
      </c>
      <c r="D31" t="s">
        <v>142</v>
      </c>
      <c r="E31" t="s">
        <v>272</v>
      </c>
      <c r="F31" t="s">
        <v>273</v>
      </c>
      <c r="G31" t="s">
        <v>46</v>
      </c>
      <c r="H31" t="s">
        <v>73</v>
      </c>
      <c r="I31" t="s">
        <v>74</v>
      </c>
      <c r="J31" t="s">
        <v>44</v>
      </c>
      <c r="K31">
        <v>1</v>
      </c>
    </row>
    <row r="32" spans="2:11" x14ac:dyDescent="0.3">
      <c r="B32" t="s">
        <v>274</v>
      </c>
      <c r="C32" t="s">
        <v>56</v>
      </c>
      <c r="D32" t="s">
        <v>149</v>
      </c>
      <c r="E32" t="s">
        <v>178</v>
      </c>
      <c r="F32" t="s">
        <v>216</v>
      </c>
      <c r="G32" t="s">
        <v>46</v>
      </c>
      <c r="H32" t="s">
        <v>73</v>
      </c>
      <c r="I32" t="s">
        <v>74</v>
      </c>
      <c r="J32" t="s">
        <v>44</v>
      </c>
      <c r="K32">
        <v>1</v>
      </c>
    </row>
    <row r="33" spans="2:11" x14ac:dyDescent="0.3">
      <c r="B33" t="s">
        <v>275</v>
      </c>
      <c r="C33" t="s">
        <v>56</v>
      </c>
      <c r="D33" t="s">
        <v>110</v>
      </c>
      <c r="E33" t="s">
        <v>276</v>
      </c>
      <c r="F33" t="s">
        <v>277</v>
      </c>
      <c r="G33" t="s">
        <v>46</v>
      </c>
      <c r="H33" t="s">
        <v>73</v>
      </c>
      <c r="I33" t="s">
        <v>74</v>
      </c>
      <c r="J33" t="s">
        <v>44</v>
      </c>
      <c r="K33">
        <v>1</v>
      </c>
    </row>
    <row r="34" spans="2:11" x14ac:dyDescent="0.3">
      <c r="B34" t="s">
        <v>278</v>
      </c>
      <c r="C34" t="s">
        <v>56</v>
      </c>
      <c r="D34" t="s">
        <v>149</v>
      </c>
      <c r="E34" t="s">
        <v>197</v>
      </c>
      <c r="F34" t="s">
        <v>200</v>
      </c>
      <c r="G34" t="s">
        <v>46</v>
      </c>
      <c r="H34" t="s">
        <v>73</v>
      </c>
      <c r="I34" t="s">
        <v>74</v>
      </c>
      <c r="J34" t="s">
        <v>44</v>
      </c>
      <c r="K34">
        <v>2</v>
      </c>
    </row>
    <row r="35" spans="2:11" x14ac:dyDescent="0.3">
      <c r="B35" t="s">
        <v>278</v>
      </c>
      <c r="C35" t="s">
        <v>56</v>
      </c>
      <c r="D35" t="s">
        <v>108</v>
      </c>
      <c r="E35" t="s">
        <v>197</v>
      </c>
      <c r="F35" t="s">
        <v>200</v>
      </c>
      <c r="G35" t="s">
        <v>46</v>
      </c>
      <c r="H35" t="s">
        <v>73</v>
      </c>
      <c r="I35" t="s">
        <v>74</v>
      </c>
      <c r="J35" t="s">
        <v>44</v>
      </c>
      <c r="K35">
        <v>1</v>
      </c>
    </row>
    <row r="36" spans="2:11" x14ac:dyDescent="0.3">
      <c r="B36" t="s">
        <v>278</v>
      </c>
      <c r="C36" t="s">
        <v>56</v>
      </c>
      <c r="D36" t="s">
        <v>148</v>
      </c>
      <c r="E36" t="s">
        <v>197</v>
      </c>
      <c r="F36" t="s">
        <v>200</v>
      </c>
      <c r="G36" t="s">
        <v>46</v>
      </c>
      <c r="H36" t="s">
        <v>73</v>
      </c>
      <c r="I36" t="s">
        <v>74</v>
      </c>
      <c r="J36" t="s">
        <v>44</v>
      </c>
      <c r="K36">
        <v>4</v>
      </c>
    </row>
    <row r="37" spans="2:11" x14ac:dyDescent="0.3">
      <c r="B37" t="s">
        <v>279</v>
      </c>
      <c r="C37" t="s">
        <v>56</v>
      </c>
      <c r="D37" t="s">
        <v>110</v>
      </c>
      <c r="E37" t="s">
        <v>111</v>
      </c>
      <c r="F37" t="s">
        <v>176</v>
      </c>
      <c r="G37" t="s">
        <v>46</v>
      </c>
      <c r="H37" t="s">
        <v>73</v>
      </c>
      <c r="I37" t="s">
        <v>74</v>
      </c>
      <c r="J37" t="s">
        <v>44</v>
      </c>
      <c r="K37">
        <v>1</v>
      </c>
    </row>
    <row r="38" spans="2:11" x14ac:dyDescent="0.3">
      <c r="B38" t="s">
        <v>280</v>
      </c>
      <c r="C38" t="s">
        <v>56</v>
      </c>
      <c r="D38" t="s">
        <v>148</v>
      </c>
      <c r="E38" t="s">
        <v>111</v>
      </c>
      <c r="F38" t="s">
        <v>176</v>
      </c>
      <c r="G38" t="s">
        <v>46</v>
      </c>
      <c r="H38" t="s">
        <v>73</v>
      </c>
      <c r="I38" t="s">
        <v>74</v>
      </c>
      <c r="J38" t="s">
        <v>44</v>
      </c>
      <c r="K38">
        <v>1</v>
      </c>
    </row>
    <row r="39" spans="2:11" x14ac:dyDescent="0.3">
      <c r="B39" t="s">
        <v>432</v>
      </c>
      <c r="C39" t="s">
        <v>56</v>
      </c>
      <c r="D39" t="s">
        <v>148</v>
      </c>
      <c r="E39" t="s">
        <v>197</v>
      </c>
      <c r="F39" t="s">
        <v>200</v>
      </c>
      <c r="G39" t="s">
        <v>46</v>
      </c>
      <c r="H39" t="s">
        <v>73</v>
      </c>
      <c r="I39" t="s">
        <v>74</v>
      </c>
      <c r="J39" t="s">
        <v>44</v>
      </c>
      <c r="K39">
        <v>1</v>
      </c>
    </row>
    <row r="40" spans="2:11" x14ac:dyDescent="0.3">
      <c r="B40" t="s">
        <v>281</v>
      </c>
      <c r="C40" t="s">
        <v>56</v>
      </c>
      <c r="D40" t="s">
        <v>109</v>
      </c>
      <c r="E40" t="s">
        <v>197</v>
      </c>
      <c r="F40" t="s">
        <v>200</v>
      </c>
      <c r="G40" t="s">
        <v>46</v>
      </c>
      <c r="H40" t="s">
        <v>73</v>
      </c>
      <c r="I40" t="s">
        <v>74</v>
      </c>
      <c r="J40" t="s">
        <v>44</v>
      </c>
      <c r="K40">
        <v>1</v>
      </c>
    </row>
    <row r="41" spans="2:11" x14ac:dyDescent="0.3">
      <c r="B41" t="s">
        <v>281</v>
      </c>
      <c r="C41" t="s">
        <v>56</v>
      </c>
      <c r="D41" t="s">
        <v>108</v>
      </c>
      <c r="E41" t="s">
        <v>197</v>
      </c>
      <c r="F41" t="s">
        <v>200</v>
      </c>
      <c r="G41" t="s">
        <v>46</v>
      </c>
      <c r="H41" t="s">
        <v>73</v>
      </c>
      <c r="I41" t="s">
        <v>74</v>
      </c>
      <c r="J41" t="s">
        <v>44</v>
      </c>
      <c r="K41">
        <v>3</v>
      </c>
    </row>
    <row r="42" spans="2:11" x14ac:dyDescent="0.3">
      <c r="B42" t="s">
        <v>281</v>
      </c>
      <c r="C42" t="s">
        <v>56</v>
      </c>
      <c r="D42" t="s">
        <v>148</v>
      </c>
      <c r="E42" t="s">
        <v>197</v>
      </c>
      <c r="F42" t="s">
        <v>200</v>
      </c>
      <c r="G42" t="s">
        <v>46</v>
      </c>
      <c r="H42" t="s">
        <v>73</v>
      </c>
      <c r="I42" t="s">
        <v>74</v>
      </c>
      <c r="J42" t="s">
        <v>44</v>
      </c>
      <c r="K42">
        <v>3</v>
      </c>
    </row>
    <row r="43" spans="2:11" x14ac:dyDescent="0.3">
      <c r="B43" t="s">
        <v>281</v>
      </c>
      <c r="C43" t="s">
        <v>56</v>
      </c>
      <c r="D43" t="s">
        <v>144</v>
      </c>
      <c r="E43" t="s">
        <v>197</v>
      </c>
      <c r="F43" t="s">
        <v>200</v>
      </c>
      <c r="G43" t="s">
        <v>46</v>
      </c>
      <c r="H43" t="s">
        <v>73</v>
      </c>
      <c r="I43" t="s">
        <v>74</v>
      </c>
      <c r="J43" t="s">
        <v>44</v>
      </c>
      <c r="K43">
        <v>1</v>
      </c>
    </row>
    <row r="44" spans="2:11" x14ac:dyDescent="0.3">
      <c r="B44" t="s">
        <v>282</v>
      </c>
      <c r="C44" t="s">
        <v>56</v>
      </c>
      <c r="D44" t="s">
        <v>110</v>
      </c>
      <c r="E44" t="s">
        <v>283</v>
      </c>
      <c r="F44" t="s">
        <v>284</v>
      </c>
      <c r="G44" t="s">
        <v>46</v>
      </c>
      <c r="H44" t="s">
        <v>73</v>
      </c>
      <c r="I44" t="s">
        <v>74</v>
      </c>
      <c r="J44" t="s">
        <v>44</v>
      </c>
      <c r="K44">
        <v>1</v>
      </c>
    </row>
    <row r="45" spans="2:11" x14ac:dyDescent="0.3">
      <c r="B45" t="s">
        <v>285</v>
      </c>
      <c r="C45" t="s">
        <v>56</v>
      </c>
      <c r="D45" t="s">
        <v>108</v>
      </c>
      <c r="E45" t="s">
        <v>286</v>
      </c>
      <c r="F45" t="s">
        <v>287</v>
      </c>
      <c r="G45" t="s">
        <v>46</v>
      </c>
      <c r="H45" t="s">
        <v>73</v>
      </c>
      <c r="I45" t="s">
        <v>74</v>
      </c>
      <c r="J45" t="s">
        <v>44</v>
      </c>
      <c r="K45">
        <v>1</v>
      </c>
    </row>
    <row r="46" spans="2:11" x14ac:dyDescent="0.3">
      <c r="B46" t="s">
        <v>288</v>
      </c>
      <c r="C46" t="s">
        <v>56</v>
      </c>
      <c r="D46" t="s">
        <v>108</v>
      </c>
      <c r="E46" t="s">
        <v>289</v>
      </c>
      <c r="F46" t="s">
        <v>290</v>
      </c>
      <c r="G46" t="s">
        <v>46</v>
      </c>
      <c r="H46" t="s">
        <v>73</v>
      </c>
      <c r="I46" t="s">
        <v>74</v>
      </c>
      <c r="J46" t="s">
        <v>44</v>
      </c>
      <c r="K46">
        <v>1</v>
      </c>
    </row>
    <row r="47" spans="2:11" x14ac:dyDescent="0.3">
      <c r="B47" t="s">
        <v>291</v>
      </c>
      <c r="C47" t="s">
        <v>56</v>
      </c>
      <c r="D47" t="s">
        <v>110</v>
      </c>
      <c r="E47" t="s">
        <v>111</v>
      </c>
      <c r="F47" t="s">
        <v>176</v>
      </c>
      <c r="G47" t="s">
        <v>46</v>
      </c>
      <c r="H47" t="s">
        <v>73</v>
      </c>
      <c r="I47" t="s">
        <v>74</v>
      </c>
      <c r="J47" t="s">
        <v>44</v>
      </c>
      <c r="K47">
        <v>1</v>
      </c>
    </row>
    <row r="48" spans="2:11" x14ac:dyDescent="0.3">
      <c r="B48" t="s">
        <v>291</v>
      </c>
      <c r="C48" t="s">
        <v>56</v>
      </c>
      <c r="D48" t="s">
        <v>108</v>
      </c>
      <c r="E48" t="s">
        <v>111</v>
      </c>
      <c r="F48" t="s">
        <v>176</v>
      </c>
      <c r="G48" t="s">
        <v>46</v>
      </c>
      <c r="H48" t="s">
        <v>73</v>
      </c>
      <c r="I48" t="s">
        <v>74</v>
      </c>
      <c r="J48" t="s">
        <v>44</v>
      </c>
      <c r="K48">
        <v>1</v>
      </c>
    </row>
    <row r="49" spans="2:11" x14ac:dyDescent="0.3">
      <c r="B49" t="s">
        <v>294</v>
      </c>
      <c r="C49" t="s">
        <v>56</v>
      </c>
      <c r="D49" t="s">
        <v>149</v>
      </c>
      <c r="E49" t="s">
        <v>178</v>
      </c>
      <c r="F49" t="s">
        <v>216</v>
      </c>
      <c r="G49" t="s">
        <v>46</v>
      </c>
      <c r="H49" t="s">
        <v>73</v>
      </c>
      <c r="I49" t="s">
        <v>74</v>
      </c>
      <c r="J49" t="s">
        <v>44</v>
      </c>
      <c r="K49">
        <v>1</v>
      </c>
    </row>
    <row r="50" spans="2:11" x14ac:dyDescent="0.3">
      <c r="B50" t="s">
        <v>295</v>
      </c>
      <c r="C50" t="s">
        <v>56</v>
      </c>
      <c r="D50" t="s">
        <v>110</v>
      </c>
      <c r="E50" t="s">
        <v>283</v>
      </c>
      <c r="F50" t="s">
        <v>284</v>
      </c>
      <c r="G50" t="s">
        <v>46</v>
      </c>
      <c r="H50" t="s">
        <v>73</v>
      </c>
      <c r="I50" t="s">
        <v>74</v>
      </c>
      <c r="J50" t="s">
        <v>44</v>
      </c>
      <c r="K50">
        <v>2</v>
      </c>
    </row>
    <row r="51" spans="2:11" x14ac:dyDescent="0.3">
      <c r="B51" t="s">
        <v>296</v>
      </c>
      <c r="C51" t="s">
        <v>56</v>
      </c>
      <c r="D51" t="s">
        <v>110</v>
      </c>
      <c r="E51" t="s">
        <v>283</v>
      </c>
      <c r="F51" t="s">
        <v>284</v>
      </c>
      <c r="G51" t="s">
        <v>46</v>
      </c>
      <c r="H51" t="s">
        <v>73</v>
      </c>
      <c r="I51" t="s">
        <v>74</v>
      </c>
      <c r="J51" t="s">
        <v>44</v>
      </c>
      <c r="K51">
        <v>1</v>
      </c>
    </row>
    <row r="52" spans="2:11" x14ac:dyDescent="0.3">
      <c r="B52" t="s">
        <v>297</v>
      </c>
      <c r="C52" t="s">
        <v>56</v>
      </c>
      <c r="D52" t="s">
        <v>108</v>
      </c>
      <c r="E52" t="s">
        <v>111</v>
      </c>
      <c r="F52" t="s">
        <v>176</v>
      </c>
      <c r="G52" t="s">
        <v>46</v>
      </c>
      <c r="H52" t="s">
        <v>73</v>
      </c>
      <c r="I52" t="s">
        <v>74</v>
      </c>
      <c r="J52" t="s">
        <v>44</v>
      </c>
      <c r="K52">
        <v>1</v>
      </c>
    </row>
    <row r="53" spans="2:11" x14ac:dyDescent="0.3">
      <c r="B53" t="s">
        <v>298</v>
      </c>
      <c r="C53" t="s">
        <v>56</v>
      </c>
      <c r="D53" t="s">
        <v>144</v>
      </c>
      <c r="E53" t="s">
        <v>292</v>
      </c>
      <c r="F53" t="s">
        <v>293</v>
      </c>
      <c r="G53" t="s">
        <v>46</v>
      </c>
      <c r="H53" t="s">
        <v>73</v>
      </c>
      <c r="I53" t="s">
        <v>74</v>
      </c>
      <c r="J53" t="s">
        <v>44</v>
      </c>
      <c r="K53">
        <v>1</v>
      </c>
    </row>
    <row r="54" spans="2:11" x14ac:dyDescent="0.3">
      <c r="B54" t="s">
        <v>299</v>
      </c>
      <c r="C54" t="s">
        <v>56</v>
      </c>
      <c r="D54" t="s">
        <v>145</v>
      </c>
      <c r="E54" t="s">
        <v>300</v>
      </c>
      <c r="F54" t="s">
        <v>301</v>
      </c>
      <c r="G54" t="s">
        <v>46</v>
      </c>
      <c r="H54" t="s">
        <v>73</v>
      </c>
      <c r="I54" t="s">
        <v>74</v>
      </c>
      <c r="J54" t="s">
        <v>44</v>
      </c>
      <c r="K54">
        <v>1</v>
      </c>
    </row>
    <row r="55" spans="2:11" x14ac:dyDescent="0.3">
      <c r="B55" t="s">
        <v>302</v>
      </c>
      <c r="C55" t="s">
        <v>56</v>
      </c>
      <c r="D55" t="s">
        <v>110</v>
      </c>
      <c r="E55" t="s">
        <v>303</v>
      </c>
      <c r="F55" t="s">
        <v>304</v>
      </c>
      <c r="G55" t="s">
        <v>46</v>
      </c>
      <c r="H55" t="s">
        <v>73</v>
      </c>
      <c r="I55" t="s">
        <v>74</v>
      </c>
      <c r="J55" t="s">
        <v>44</v>
      </c>
      <c r="K55">
        <v>1</v>
      </c>
    </row>
    <row r="56" spans="2:11" x14ac:dyDescent="0.3">
      <c r="B56" t="s">
        <v>305</v>
      </c>
      <c r="C56" t="s">
        <v>56</v>
      </c>
      <c r="D56" t="s">
        <v>145</v>
      </c>
      <c r="E56" t="s">
        <v>306</v>
      </c>
      <c r="F56" t="s">
        <v>307</v>
      </c>
      <c r="G56" t="s">
        <v>46</v>
      </c>
      <c r="H56" t="s">
        <v>73</v>
      </c>
      <c r="I56" t="s">
        <v>74</v>
      </c>
      <c r="J56" t="s">
        <v>44</v>
      </c>
      <c r="K56">
        <v>1</v>
      </c>
    </row>
    <row r="57" spans="2:11" x14ac:dyDescent="0.3">
      <c r="B57" t="s">
        <v>308</v>
      </c>
      <c r="C57" t="s">
        <v>56</v>
      </c>
      <c r="D57" t="s">
        <v>110</v>
      </c>
      <c r="E57" t="s">
        <v>309</v>
      </c>
      <c r="F57" t="s">
        <v>310</v>
      </c>
      <c r="G57" t="s">
        <v>46</v>
      </c>
      <c r="H57" t="s">
        <v>73</v>
      </c>
      <c r="I57" t="s">
        <v>74</v>
      </c>
      <c r="J57" t="s">
        <v>44</v>
      </c>
      <c r="K57">
        <v>1</v>
      </c>
    </row>
    <row r="58" spans="2:11" x14ac:dyDescent="0.3">
      <c r="B58" t="s">
        <v>311</v>
      </c>
      <c r="C58" t="s">
        <v>56</v>
      </c>
      <c r="D58" t="s">
        <v>108</v>
      </c>
      <c r="E58" t="s">
        <v>312</v>
      </c>
      <c r="F58" t="s">
        <v>313</v>
      </c>
      <c r="G58" t="s">
        <v>46</v>
      </c>
      <c r="H58" t="s">
        <v>73</v>
      </c>
      <c r="I58" t="s">
        <v>74</v>
      </c>
      <c r="J58" t="s">
        <v>44</v>
      </c>
      <c r="K58">
        <v>1</v>
      </c>
    </row>
    <row r="59" spans="2:11" x14ac:dyDescent="0.3">
      <c r="B59" t="s">
        <v>314</v>
      </c>
      <c r="C59" t="s">
        <v>56</v>
      </c>
      <c r="D59" t="s">
        <v>110</v>
      </c>
      <c r="E59" t="s">
        <v>315</v>
      </c>
      <c r="F59" t="s">
        <v>316</v>
      </c>
      <c r="G59" t="s">
        <v>46</v>
      </c>
      <c r="H59" t="s">
        <v>73</v>
      </c>
      <c r="I59" t="s">
        <v>74</v>
      </c>
      <c r="J59" t="s">
        <v>44</v>
      </c>
      <c r="K59">
        <v>1</v>
      </c>
    </row>
    <row r="60" spans="2:11" x14ac:dyDescent="0.3">
      <c r="B60" t="s">
        <v>317</v>
      </c>
      <c r="C60" t="s">
        <v>56</v>
      </c>
      <c r="D60" t="s">
        <v>145</v>
      </c>
      <c r="E60" t="s">
        <v>203</v>
      </c>
      <c r="F60" t="s">
        <v>204</v>
      </c>
      <c r="G60" t="s">
        <v>46</v>
      </c>
      <c r="H60" t="s">
        <v>73</v>
      </c>
      <c r="I60" t="s">
        <v>74</v>
      </c>
      <c r="J60" t="s">
        <v>44</v>
      </c>
      <c r="K60">
        <v>1</v>
      </c>
    </row>
    <row r="61" spans="2:11" x14ac:dyDescent="0.3">
      <c r="B61" t="s">
        <v>318</v>
      </c>
      <c r="C61" t="s">
        <v>56</v>
      </c>
      <c r="D61" t="s">
        <v>158</v>
      </c>
      <c r="E61" t="s">
        <v>111</v>
      </c>
      <c r="F61" t="s">
        <v>319</v>
      </c>
      <c r="G61" t="s">
        <v>46</v>
      </c>
      <c r="H61" t="s">
        <v>73</v>
      </c>
      <c r="I61" t="s">
        <v>74</v>
      </c>
      <c r="J61" t="s">
        <v>44</v>
      </c>
      <c r="K61">
        <v>2</v>
      </c>
    </row>
    <row r="62" spans="2:11" x14ac:dyDescent="0.3">
      <c r="B62" t="s">
        <v>320</v>
      </c>
      <c r="C62" t="s">
        <v>56</v>
      </c>
      <c r="D62" t="s">
        <v>144</v>
      </c>
      <c r="E62" t="s">
        <v>321</v>
      </c>
      <c r="F62" t="s">
        <v>322</v>
      </c>
      <c r="G62" t="s">
        <v>46</v>
      </c>
      <c r="H62" t="s">
        <v>73</v>
      </c>
      <c r="I62" t="s">
        <v>74</v>
      </c>
      <c r="J62" t="s">
        <v>44</v>
      </c>
      <c r="K62">
        <v>1</v>
      </c>
    </row>
    <row r="63" spans="2:11" x14ac:dyDescent="0.3">
      <c r="B63" t="s">
        <v>323</v>
      </c>
      <c r="C63" t="s">
        <v>56</v>
      </c>
      <c r="D63" t="s">
        <v>145</v>
      </c>
      <c r="E63" t="s">
        <v>324</v>
      </c>
      <c r="F63" t="s">
        <v>325</v>
      </c>
      <c r="G63" t="s">
        <v>46</v>
      </c>
      <c r="H63" t="s">
        <v>73</v>
      </c>
      <c r="I63" t="s">
        <v>74</v>
      </c>
      <c r="J63" t="s">
        <v>44</v>
      </c>
      <c r="K63">
        <v>1</v>
      </c>
    </row>
    <row r="64" spans="2:11" x14ac:dyDescent="0.3">
      <c r="B64" t="s">
        <v>326</v>
      </c>
      <c r="C64" t="s">
        <v>56</v>
      </c>
      <c r="D64" t="s">
        <v>145</v>
      </c>
      <c r="E64" t="s">
        <v>327</v>
      </c>
      <c r="F64" t="s">
        <v>328</v>
      </c>
      <c r="G64" t="s">
        <v>46</v>
      </c>
      <c r="H64" t="s">
        <v>73</v>
      </c>
      <c r="I64" t="s">
        <v>74</v>
      </c>
      <c r="J64" t="s">
        <v>44</v>
      </c>
      <c r="K64">
        <v>1</v>
      </c>
    </row>
    <row r="65" spans="2:11" x14ac:dyDescent="0.3">
      <c r="B65" t="s">
        <v>329</v>
      </c>
      <c r="C65" t="s">
        <v>56</v>
      </c>
      <c r="D65" t="s">
        <v>144</v>
      </c>
      <c r="E65" t="s">
        <v>205</v>
      </c>
      <c r="F65" t="s">
        <v>206</v>
      </c>
      <c r="G65" t="s">
        <v>46</v>
      </c>
      <c r="H65" t="s">
        <v>73</v>
      </c>
      <c r="I65" t="s">
        <v>74</v>
      </c>
      <c r="J65" t="s">
        <v>44</v>
      </c>
      <c r="K65">
        <v>1</v>
      </c>
    </row>
    <row r="66" spans="2:11" x14ac:dyDescent="0.3">
      <c r="B66" t="s">
        <v>330</v>
      </c>
      <c r="C66" t="s">
        <v>56</v>
      </c>
      <c r="D66" t="s">
        <v>145</v>
      </c>
      <c r="E66" t="s">
        <v>331</v>
      </c>
      <c r="F66" t="s">
        <v>332</v>
      </c>
      <c r="G66" t="s">
        <v>46</v>
      </c>
      <c r="H66" t="s">
        <v>73</v>
      </c>
      <c r="I66" t="s">
        <v>74</v>
      </c>
      <c r="J66" t="s">
        <v>44</v>
      </c>
      <c r="K66">
        <v>1</v>
      </c>
    </row>
    <row r="67" spans="2:11" x14ac:dyDescent="0.3">
      <c r="B67" t="s">
        <v>333</v>
      </c>
      <c r="C67" t="s">
        <v>56</v>
      </c>
      <c r="D67" t="s">
        <v>108</v>
      </c>
      <c r="E67" t="s">
        <v>197</v>
      </c>
      <c r="F67" t="s">
        <v>200</v>
      </c>
      <c r="G67" t="s">
        <v>46</v>
      </c>
      <c r="H67" t="s">
        <v>73</v>
      </c>
      <c r="I67" t="s">
        <v>74</v>
      </c>
      <c r="J67" t="s">
        <v>44</v>
      </c>
      <c r="K67">
        <v>1</v>
      </c>
    </row>
    <row r="68" spans="2:11" x14ac:dyDescent="0.3">
      <c r="B68" t="s">
        <v>334</v>
      </c>
      <c r="C68" t="s">
        <v>56</v>
      </c>
      <c r="D68" t="s">
        <v>110</v>
      </c>
      <c r="E68" t="s">
        <v>201</v>
      </c>
      <c r="F68" t="s">
        <v>202</v>
      </c>
      <c r="G68" t="s">
        <v>46</v>
      </c>
      <c r="H68" t="s">
        <v>73</v>
      </c>
      <c r="I68" t="s">
        <v>74</v>
      </c>
      <c r="J68" t="s">
        <v>44</v>
      </c>
      <c r="K68">
        <v>1</v>
      </c>
    </row>
    <row r="69" spans="2:11" x14ac:dyDescent="0.3">
      <c r="B69" t="s">
        <v>335</v>
      </c>
      <c r="C69" t="s">
        <v>57</v>
      </c>
      <c r="D69" t="s">
        <v>103</v>
      </c>
      <c r="E69" t="s">
        <v>207</v>
      </c>
      <c r="F69" t="s">
        <v>208</v>
      </c>
      <c r="G69" t="s">
        <v>46</v>
      </c>
      <c r="H69" t="s">
        <v>73</v>
      </c>
      <c r="I69" t="s">
        <v>74</v>
      </c>
      <c r="J69" t="s">
        <v>44</v>
      </c>
      <c r="K69">
        <v>5</v>
      </c>
    </row>
    <row r="70" spans="2:11" x14ac:dyDescent="0.3">
      <c r="B70" t="s">
        <v>336</v>
      </c>
      <c r="C70" t="s">
        <v>57</v>
      </c>
      <c r="D70" t="s">
        <v>103</v>
      </c>
      <c r="E70" t="s">
        <v>207</v>
      </c>
      <c r="F70" t="s">
        <v>208</v>
      </c>
      <c r="G70" t="s">
        <v>46</v>
      </c>
      <c r="H70" t="s">
        <v>73</v>
      </c>
      <c r="I70" t="s">
        <v>74</v>
      </c>
      <c r="J70" t="s">
        <v>44</v>
      </c>
      <c r="K70">
        <v>2</v>
      </c>
    </row>
    <row r="71" spans="2:11" x14ac:dyDescent="0.3">
      <c r="B71" t="s">
        <v>337</v>
      </c>
      <c r="C71" t="s">
        <v>57</v>
      </c>
      <c r="D71" t="s">
        <v>103</v>
      </c>
      <c r="E71" t="s">
        <v>207</v>
      </c>
      <c r="F71" t="s">
        <v>208</v>
      </c>
      <c r="G71" t="s">
        <v>46</v>
      </c>
      <c r="H71" t="s">
        <v>73</v>
      </c>
      <c r="I71" t="s">
        <v>74</v>
      </c>
      <c r="J71" t="s">
        <v>44</v>
      </c>
      <c r="K71">
        <v>1</v>
      </c>
    </row>
    <row r="72" spans="2:11" x14ac:dyDescent="0.3">
      <c r="B72" t="s">
        <v>338</v>
      </c>
      <c r="C72" t="s">
        <v>57</v>
      </c>
      <c r="D72" t="s">
        <v>164</v>
      </c>
      <c r="E72" t="s">
        <v>111</v>
      </c>
      <c r="F72" t="s">
        <v>176</v>
      </c>
      <c r="G72" t="s">
        <v>46</v>
      </c>
      <c r="H72" t="s">
        <v>73</v>
      </c>
      <c r="I72" t="s">
        <v>74</v>
      </c>
      <c r="J72" t="s">
        <v>44</v>
      </c>
      <c r="K72">
        <v>1</v>
      </c>
    </row>
    <row r="73" spans="2:11" x14ac:dyDescent="0.3">
      <c r="B73" t="s">
        <v>339</v>
      </c>
      <c r="C73" t="s">
        <v>9</v>
      </c>
      <c r="D73" t="s">
        <v>172</v>
      </c>
      <c r="E73" t="s">
        <v>111</v>
      </c>
      <c r="F73" t="s">
        <v>175</v>
      </c>
      <c r="G73" t="s">
        <v>46</v>
      </c>
      <c r="H73" t="s">
        <v>73</v>
      </c>
      <c r="I73" t="s">
        <v>74</v>
      </c>
      <c r="J73" t="s">
        <v>44</v>
      </c>
      <c r="K73">
        <v>1</v>
      </c>
    </row>
    <row r="74" spans="2:11" x14ac:dyDescent="0.3">
      <c r="B74" t="s">
        <v>189</v>
      </c>
      <c r="C74" t="s">
        <v>230</v>
      </c>
      <c r="D74" t="s">
        <v>190</v>
      </c>
      <c r="E74" t="s">
        <v>181</v>
      </c>
      <c r="F74" t="s">
        <v>182</v>
      </c>
      <c r="G74" t="s">
        <v>49</v>
      </c>
      <c r="H74" t="s">
        <v>75</v>
      </c>
      <c r="I74" t="s">
        <v>77</v>
      </c>
      <c r="J74" t="s">
        <v>72</v>
      </c>
      <c r="K74">
        <v>1</v>
      </c>
    </row>
    <row r="75" spans="2:11" x14ac:dyDescent="0.3">
      <c r="B75" t="s">
        <v>189</v>
      </c>
      <c r="C75" t="s">
        <v>224</v>
      </c>
      <c r="D75" t="s">
        <v>186</v>
      </c>
      <c r="E75" t="s">
        <v>181</v>
      </c>
      <c r="F75" t="s">
        <v>182</v>
      </c>
      <c r="G75" t="s">
        <v>49</v>
      </c>
      <c r="H75" t="s">
        <v>75</v>
      </c>
      <c r="I75" t="s">
        <v>77</v>
      </c>
      <c r="J75" t="s">
        <v>72</v>
      </c>
      <c r="K75">
        <v>1</v>
      </c>
    </row>
    <row r="76" spans="2:11" x14ac:dyDescent="0.3">
      <c r="B76" t="s">
        <v>189</v>
      </c>
      <c r="C76" t="s">
        <v>224</v>
      </c>
      <c r="D76" t="s">
        <v>125</v>
      </c>
      <c r="E76" t="s">
        <v>181</v>
      </c>
      <c r="F76" t="s">
        <v>182</v>
      </c>
      <c r="G76" t="s">
        <v>49</v>
      </c>
      <c r="H76" t="s">
        <v>75</v>
      </c>
      <c r="I76" t="s">
        <v>77</v>
      </c>
      <c r="J76" t="s">
        <v>72</v>
      </c>
      <c r="K76">
        <v>1</v>
      </c>
    </row>
    <row r="77" spans="2:11" x14ac:dyDescent="0.3">
      <c r="B77" t="s">
        <v>191</v>
      </c>
      <c r="C77" t="s">
        <v>226</v>
      </c>
      <c r="D77" t="s">
        <v>127</v>
      </c>
      <c r="E77" t="s">
        <v>192</v>
      </c>
      <c r="F77" t="s">
        <v>193</v>
      </c>
      <c r="G77" t="s">
        <v>49</v>
      </c>
      <c r="H77" t="s">
        <v>75</v>
      </c>
      <c r="I77" t="s">
        <v>77</v>
      </c>
      <c r="J77" t="s">
        <v>72</v>
      </c>
      <c r="K77">
        <v>1</v>
      </c>
    </row>
    <row r="78" spans="2:11" x14ac:dyDescent="0.3">
      <c r="B78" t="s">
        <v>423</v>
      </c>
      <c r="C78" t="s">
        <v>11</v>
      </c>
      <c r="D78" t="s">
        <v>424</v>
      </c>
      <c r="E78" t="s">
        <v>179</v>
      </c>
      <c r="F78" t="s">
        <v>180</v>
      </c>
      <c r="G78" t="s">
        <v>49</v>
      </c>
      <c r="H78" t="s">
        <v>75</v>
      </c>
      <c r="I78" t="s">
        <v>77</v>
      </c>
      <c r="J78" t="s">
        <v>44</v>
      </c>
      <c r="K78">
        <v>1</v>
      </c>
    </row>
    <row r="79" spans="2:11" x14ac:dyDescent="0.3">
      <c r="B79" t="s">
        <v>425</v>
      </c>
      <c r="C79" t="s">
        <v>226</v>
      </c>
      <c r="D79" t="s">
        <v>121</v>
      </c>
      <c r="E79" t="s">
        <v>426</v>
      </c>
      <c r="F79" t="s">
        <v>427</v>
      </c>
      <c r="G79" t="s">
        <v>50</v>
      </c>
      <c r="H79" t="s">
        <v>75</v>
      </c>
      <c r="I79" t="s">
        <v>77</v>
      </c>
      <c r="J79" t="s">
        <v>72</v>
      </c>
      <c r="K79">
        <v>1</v>
      </c>
    </row>
    <row r="80" spans="2:11" x14ac:dyDescent="0.3">
      <c r="B80" t="s">
        <v>428</v>
      </c>
      <c r="C80" t="s">
        <v>226</v>
      </c>
      <c r="D80" t="s">
        <v>120</v>
      </c>
      <c r="E80" t="s">
        <v>429</v>
      </c>
      <c r="F80" t="s">
        <v>430</v>
      </c>
      <c r="G80" t="s">
        <v>50</v>
      </c>
      <c r="H80" t="s">
        <v>75</v>
      </c>
      <c r="I80" t="s">
        <v>77</v>
      </c>
      <c r="J80" t="s">
        <v>72</v>
      </c>
      <c r="K80">
        <v>1</v>
      </c>
    </row>
    <row r="81" spans="2:11" x14ac:dyDescent="0.3">
      <c r="B81" t="s">
        <v>340</v>
      </c>
      <c r="C81" t="s">
        <v>224</v>
      </c>
      <c r="D81" t="s">
        <v>126</v>
      </c>
      <c r="E81" t="s">
        <v>341</v>
      </c>
      <c r="F81" t="s">
        <v>342</v>
      </c>
      <c r="G81" t="s">
        <v>50</v>
      </c>
      <c r="H81" t="s">
        <v>75</v>
      </c>
      <c r="I81" t="s">
        <v>77</v>
      </c>
      <c r="J81" t="s">
        <v>72</v>
      </c>
      <c r="K81">
        <v>1</v>
      </c>
    </row>
    <row r="82" spans="2:11" x14ac:dyDescent="0.3">
      <c r="B82" t="s">
        <v>343</v>
      </c>
      <c r="C82" t="s">
        <v>230</v>
      </c>
      <c r="D82" t="s">
        <v>190</v>
      </c>
      <c r="E82" t="s">
        <v>179</v>
      </c>
      <c r="F82" t="s">
        <v>180</v>
      </c>
      <c r="G82" t="s">
        <v>50</v>
      </c>
      <c r="H82" t="s">
        <v>75</v>
      </c>
      <c r="I82" t="s">
        <v>77</v>
      </c>
      <c r="J82" t="s">
        <v>72</v>
      </c>
      <c r="K82">
        <v>2</v>
      </c>
    </row>
    <row r="83" spans="2:11" x14ac:dyDescent="0.3">
      <c r="B83" t="s">
        <v>343</v>
      </c>
      <c r="C83" t="s">
        <v>226</v>
      </c>
      <c r="D83" t="s">
        <v>184</v>
      </c>
      <c r="E83" t="s">
        <v>179</v>
      </c>
      <c r="F83" t="s">
        <v>180</v>
      </c>
      <c r="G83" t="s">
        <v>50</v>
      </c>
      <c r="H83" t="s">
        <v>75</v>
      </c>
      <c r="I83" t="s">
        <v>77</v>
      </c>
      <c r="J83" t="s">
        <v>72</v>
      </c>
      <c r="K83">
        <v>1</v>
      </c>
    </row>
    <row r="84" spans="2:11" x14ac:dyDescent="0.3">
      <c r="B84" t="s">
        <v>343</v>
      </c>
      <c r="C84" t="s">
        <v>230</v>
      </c>
      <c r="D84" t="s">
        <v>194</v>
      </c>
      <c r="E84" t="s">
        <v>179</v>
      </c>
      <c r="F84" t="s">
        <v>180</v>
      </c>
      <c r="G84" t="s">
        <v>50</v>
      </c>
      <c r="H84" t="s">
        <v>75</v>
      </c>
      <c r="I84" t="s">
        <v>77</v>
      </c>
      <c r="J84" t="s">
        <v>72</v>
      </c>
      <c r="K84">
        <v>6</v>
      </c>
    </row>
    <row r="85" spans="2:11" x14ac:dyDescent="0.3">
      <c r="B85" t="s">
        <v>343</v>
      </c>
      <c r="C85" t="s">
        <v>230</v>
      </c>
      <c r="D85" t="s">
        <v>188</v>
      </c>
      <c r="E85" t="s">
        <v>179</v>
      </c>
      <c r="F85" t="s">
        <v>180</v>
      </c>
      <c r="G85" t="s">
        <v>50</v>
      </c>
      <c r="H85" t="s">
        <v>75</v>
      </c>
      <c r="I85" t="s">
        <v>77</v>
      </c>
      <c r="J85" t="s">
        <v>72</v>
      </c>
      <c r="K85">
        <v>3</v>
      </c>
    </row>
    <row r="86" spans="2:11" x14ac:dyDescent="0.3">
      <c r="B86" t="s">
        <v>343</v>
      </c>
      <c r="C86" t="s">
        <v>230</v>
      </c>
      <c r="D86" t="s">
        <v>185</v>
      </c>
      <c r="E86" t="s">
        <v>179</v>
      </c>
      <c r="F86" t="s">
        <v>180</v>
      </c>
      <c r="G86" t="s">
        <v>50</v>
      </c>
      <c r="H86" t="s">
        <v>75</v>
      </c>
      <c r="I86" t="s">
        <v>77</v>
      </c>
      <c r="J86" t="s">
        <v>72</v>
      </c>
      <c r="K86">
        <v>5</v>
      </c>
    </row>
    <row r="87" spans="2:11" x14ac:dyDescent="0.3">
      <c r="B87" t="s">
        <v>343</v>
      </c>
      <c r="C87" t="s">
        <v>230</v>
      </c>
      <c r="D87" t="s">
        <v>196</v>
      </c>
      <c r="E87" t="s">
        <v>179</v>
      </c>
      <c r="F87" t="s">
        <v>180</v>
      </c>
      <c r="G87" t="s">
        <v>50</v>
      </c>
      <c r="H87" t="s">
        <v>75</v>
      </c>
      <c r="I87" t="s">
        <v>77</v>
      </c>
      <c r="J87" t="s">
        <v>72</v>
      </c>
      <c r="K87">
        <v>1</v>
      </c>
    </row>
    <row r="88" spans="2:11" x14ac:dyDescent="0.3">
      <c r="B88" t="s">
        <v>343</v>
      </c>
      <c r="C88" t="s">
        <v>230</v>
      </c>
      <c r="D88" t="s">
        <v>195</v>
      </c>
      <c r="E88" t="s">
        <v>179</v>
      </c>
      <c r="F88" t="s">
        <v>180</v>
      </c>
      <c r="G88" t="s">
        <v>50</v>
      </c>
      <c r="H88" t="s">
        <v>75</v>
      </c>
      <c r="I88" t="s">
        <v>77</v>
      </c>
      <c r="J88" t="s">
        <v>72</v>
      </c>
      <c r="K88">
        <v>1</v>
      </c>
    </row>
    <row r="89" spans="2:11" x14ac:dyDescent="0.3">
      <c r="B89" t="s">
        <v>344</v>
      </c>
      <c r="C89" t="s">
        <v>226</v>
      </c>
      <c r="D89" t="s">
        <v>127</v>
      </c>
      <c r="E89" t="s">
        <v>192</v>
      </c>
      <c r="F89" t="s">
        <v>193</v>
      </c>
      <c r="G89" t="s">
        <v>50</v>
      </c>
      <c r="H89" t="s">
        <v>75</v>
      </c>
      <c r="I89" t="s">
        <v>77</v>
      </c>
      <c r="J89" t="s">
        <v>72</v>
      </c>
      <c r="K89">
        <v>1</v>
      </c>
    </row>
    <row r="90" spans="2:11" x14ac:dyDescent="0.3">
      <c r="B90" t="s">
        <v>344</v>
      </c>
      <c r="C90" t="s">
        <v>224</v>
      </c>
      <c r="D90" t="s">
        <v>122</v>
      </c>
      <c r="E90" t="s">
        <v>192</v>
      </c>
      <c r="F90" t="s">
        <v>193</v>
      </c>
      <c r="G90" t="s">
        <v>50</v>
      </c>
      <c r="H90" t="s">
        <v>75</v>
      </c>
      <c r="I90" t="s">
        <v>77</v>
      </c>
      <c r="J90" t="s">
        <v>72</v>
      </c>
      <c r="K90">
        <v>2</v>
      </c>
    </row>
    <row r="91" spans="2:11" x14ac:dyDescent="0.3">
      <c r="B91" t="s">
        <v>344</v>
      </c>
      <c r="C91" t="s">
        <v>226</v>
      </c>
      <c r="D91" t="s">
        <v>120</v>
      </c>
      <c r="E91" t="s">
        <v>192</v>
      </c>
      <c r="F91" t="s">
        <v>193</v>
      </c>
      <c r="G91" t="s">
        <v>50</v>
      </c>
      <c r="H91" t="s">
        <v>75</v>
      </c>
      <c r="I91" t="s">
        <v>77</v>
      </c>
      <c r="J91" t="s">
        <v>72</v>
      </c>
      <c r="K91">
        <v>1</v>
      </c>
    </row>
    <row r="92" spans="2:11" x14ac:dyDescent="0.3">
      <c r="B92" t="s">
        <v>345</v>
      </c>
      <c r="C92" t="s">
        <v>226</v>
      </c>
      <c r="D92" t="s">
        <v>187</v>
      </c>
      <c r="E92" t="s">
        <v>346</v>
      </c>
      <c r="F92" t="s">
        <v>347</v>
      </c>
      <c r="G92" t="s">
        <v>50</v>
      </c>
      <c r="H92" t="s">
        <v>75</v>
      </c>
      <c r="I92" t="s">
        <v>77</v>
      </c>
      <c r="J92" t="s">
        <v>72</v>
      </c>
      <c r="K92">
        <v>1</v>
      </c>
    </row>
    <row r="93" spans="2:11" x14ac:dyDescent="0.3">
      <c r="B93" t="s">
        <v>348</v>
      </c>
      <c r="C93" t="s">
        <v>56</v>
      </c>
      <c r="D93" t="s">
        <v>143</v>
      </c>
      <c r="E93" t="s">
        <v>179</v>
      </c>
      <c r="F93" t="s">
        <v>180</v>
      </c>
      <c r="G93" t="s">
        <v>50</v>
      </c>
      <c r="H93" t="s">
        <v>73</v>
      </c>
      <c r="I93" t="s">
        <v>74</v>
      </c>
      <c r="J93" t="s">
        <v>44</v>
      </c>
      <c r="K93">
        <v>1</v>
      </c>
    </row>
    <row r="94" spans="2:11" x14ac:dyDescent="0.3">
      <c r="B94" t="s">
        <v>349</v>
      </c>
      <c r="C94" t="s">
        <v>56</v>
      </c>
      <c r="D94" t="s">
        <v>110</v>
      </c>
      <c r="E94" t="s">
        <v>114</v>
      </c>
      <c r="F94" t="s">
        <v>115</v>
      </c>
      <c r="G94" t="s">
        <v>48</v>
      </c>
      <c r="H94" t="s">
        <v>73</v>
      </c>
      <c r="I94" t="s">
        <v>74</v>
      </c>
      <c r="J94" t="s">
        <v>44</v>
      </c>
      <c r="K94">
        <v>1</v>
      </c>
    </row>
    <row r="95" spans="2:11" x14ac:dyDescent="0.3">
      <c r="B95" t="s">
        <v>431</v>
      </c>
      <c r="C95" t="s">
        <v>260</v>
      </c>
      <c r="D95" t="s">
        <v>116</v>
      </c>
      <c r="E95" t="s">
        <v>117</v>
      </c>
      <c r="F95" t="s">
        <v>118</v>
      </c>
      <c r="G95" t="s">
        <v>52</v>
      </c>
      <c r="H95" t="s">
        <v>75</v>
      </c>
      <c r="I95" t="s">
        <v>77</v>
      </c>
      <c r="J95" t="s">
        <v>72</v>
      </c>
      <c r="K95">
        <v>2</v>
      </c>
    </row>
    <row r="96" spans="2:11" x14ac:dyDescent="0.3">
      <c r="B96" t="s">
        <v>350</v>
      </c>
      <c r="C96" t="s">
        <v>224</v>
      </c>
      <c r="D96" t="s">
        <v>100</v>
      </c>
      <c r="E96" t="s">
        <v>101</v>
      </c>
      <c r="F96" t="s">
        <v>102</v>
      </c>
      <c r="G96" t="s">
        <v>52</v>
      </c>
      <c r="H96" t="s">
        <v>75</v>
      </c>
      <c r="I96" t="s">
        <v>77</v>
      </c>
      <c r="J96" t="s">
        <v>72</v>
      </c>
      <c r="K96">
        <v>1</v>
      </c>
    </row>
    <row r="97" spans="2:11" x14ac:dyDescent="0.3">
      <c r="B97" t="s">
        <v>351</v>
      </c>
      <c r="C97" t="s">
        <v>224</v>
      </c>
      <c r="D97" t="s">
        <v>100</v>
      </c>
      <c r="E97" t="s">
        <v>101</v>
      </c>
      <c r="F97" t="s">
        <v>102</v>
      </c>
      <c r="G97" t="s">
        <v>52</v>
      </c>
      <c r="H97" t="s">
        <v>75</v>
      </c>
      <c r="I97" t="s">
        <v>77</v>
      </c>
      <c r="J97" t="s">
        <v>72</v>
      </c>
      <c r="K97">
        <v>2</v>
      </c>
    </row>
    <row r="98" spans="2:11" x14ac:dyDescent="0.3">
      <c r="B98" t="s">
        <v>352</v>
      </c>
      <c r="C98" t="s">
        <v>224</v>
      </c>
      <c r="D98" t="s">
        <v>123</v>
      </c>
      <c r="E98" t="s">
        <v>217</v>
      </c>
      <c r="F98" t="s">
        <v>218</v>
      </c>
      <c r="G98" t="s">
        <v>52</v>
      </c>
      <c r="H98" t="s">
        <v>75</v>
      </c>
      <c r="I98" t="s">
        <v>77</v>
      </c>
      <c r="J98" t="s">
        <v>72</v>
      </c>
      <c r="K98">
        <v>1</v>
      </c>
    </row>
    <row r="99" spans="2:11" x14ac:dyDescent="0.3">
      <c r="B99" t="s">
        <v>353</v>
      </c>
      <c r="C99" t="s">
        <v>226</v>
      </c>
      <c r="D99" t="s">
        <v>127</v>
      </c>
      <c r="E99" t="s">
        <v>152</v>
      </c>
      <c r="F99" t="s">
        <v>153</v>
      </c>
      <c r="G99" t="s">
        <v>52</v>
      </c>
      <c r="H99" t="s">
        <v>73</v>
      </c>
      <c r="I99" t="s">
        <v>74</v>
      </c>
      <c r="J99" t="s">
        <v>72</v>
      </c>
      <c r="K99">
        <v>1</v>
      </c>
    </row>
    <row r="100" spans="2:11" x14ac:dyDescent="0.3">
      <c r="B100" t="s">
        <v>219</v>
      </c>
      <c r="C100" t="s">
        <v>224</v>
      </c>
      <c r="D100" t="s">
        <v>100</v>
      </c>
      <c r="E100" t="s">
        <v>101</v>
      </c>
      <c r="F100" t="s">
        <v>102</v>
      </c>
      <c r="G100" t="s">
        <v>52</v>
      </c>
      <c r="H100" t="s">
        <v>73</v>
      </c>
      <c r="I100" t="s">
        <v>74</v>
      </c>
      <c r="J100" t="s">
        <v>72</v>
      </c>
      <c r="K100">
        <v>1</v>
      </c>
    </row>
    <row r="101" spans="2:11" x14ac:dyDescent="0.3">
      <c r="B101" t="s">
        <v>354</v>
      </c>
      <c r="C101" t="s">
        <v>224</v>
      </c>
      <c r="D101" t="s">
        <v>123</v>
      </c>
      <c r="E101" t="s">
        <v>132</v>
      </c>
      <c r="F101" t="s">
        <v>133</v>
      </c>
      <c r="G101" t="s">
        <v>52</v>
      </c>
      <c r="H101" t="s">
        <v>73</v>
      </c>
      <c r="I101" t="s">
        <v>74</v>
      </c>
      <c r="J101" t="s">
        <v>72</v>
      </c>
      <c r="K101">
        <v>2</v>
      </c>
    </row>
    <row r="102" spans="2:11" x14ac:dyDescent="0.3">
      <c r="B102" t="s">
        <v>355</v>
      </c>
      <c r="C102" t="s">
        <v>224</v>
      </c>
      <c r="D102" t="s">
        <v>123</v>
      </c>
      <c r="E102" t="s">
        <v>169</v>
      </c>
      <c r="F102" t="s">
        <v>170</v>
      </c>
      <c r="G102" t="s">
        <v>52</v>
      </c>
      <c r="H102" t="s">
        <v>73</v>
      </c>
      <c r="I102" t="s">
        <v>74</v>
      </c>
      <c r="J102" t="s">
        <v>72</v>
      </c>
      <c r="K102">
        <v>1</v>
      </c>
    </row>
    <row r="103" spans="2:11" x14ac:dyDescent="0.3">
      <c r="B103" t="s">
        <v>383</v>
      </c>
      <c r="C103" t="s">
        <v>224</v>
      </c>
      <c r="D103" t="s">
        <v>100</v>
      </c>
      <c r="E103" t="s">
        <v>136</v>
      </c>
      <c r="F103" t="s">
        <v>137</v>
      </c>
      <c r="G103" t="s">
        <v>52</v>
      </c>
      <c r="H103" t="s">
        <v>70</v>
      </c>
      <c r="I103" t="s">
        <v>71</v>
      </c>
      <c r="J103" t="s">
        <v>72</v>
      </c>
      <c r="K103">
        <v>1</v>
      </c>
    </row>
    <row r="104" spans="2:11" x14ac:dyDescent="0.3">
      <c r="B104" t="s">
        <v>356</v>
      </c>
      <c r="C104" t="s">
        <v>56</v>
      </c>
      <c r="D104" t="s">
        <v>142</v>
      </c>
      <c r="E104" t="s">
        <v>130</v>
      </c>
      <c r="F104" t="s">
        <v>131</v>
      </c>
      <c r="G104" t="s">
        <v>52</v>
      </c>
      <c r="H104" t="s">
        <v>73</v>
      </c>
      <c r="I104" t="s">
        <v>74</v>
      </c>
      <c r="J104" t="s">
        <v>44</v>
      </c>
      <c r="K104">
        <v>2</v>
      </c>
    </row>
    <row r="105" spans="2:11" x14ac:dyDescent="0.3">
      <c r="B105" t="s">
        <v>357</v>
      </c>
      <c r="C105" t="s">
        <v>56</v>
      </c>
      <c r="D105" t="s">
        <v>157</v>
      </c>
      <c r="E105" t="s">
        <v>134</v>
      </c>
      <c r="F105" t="s">
        <v>135</v>
      </c>
      <c r="G105" t="s">
        <v>52</v>
      </c>
      <c r="H105" t="s">
        <v>73</v>
      </c>
      <c r="I105" t="s">
        <v>74</v>
      </c>
      <c r="J105" t="s">
        <v>44</v>
      </c>
      <c r="K105">
        <v>1</v>
      </c>
    </row>
    <row r="106" spans="2:11" x14ac:dyDescent="0.3">
      <c r="B106" t="s">
        <v>358</v>
      </c>
      <c r="C106" t="s">
        <v>56</v>
      </c>
      <c r="D106" t="s">
        <v>110</v>
      </c>
      <c r="E106" t="s">
        <v>134</v>
      </c>
      <c r="F106" t="s">
        <v>135</v>
      </c>
      <c r="G106" t="s">
        <v>52</v>
      </c>
      <c r="H106" t="s">
        <v>73</v>
      </c>
      <c r="I106" t="s">
        <v>74</v>
      </c>
      <c r="J106" t="s">
        <v>44</v>
      </c>
      <c r="K106">
        <v>1</v>
      </c>
    </row>
    <row r="107" spans="2:11" x14ac:dyDescent="0.3">
      <c r="B107" t="s">
        <v>359</v>
      </c>
      <c r="C107" t="s">
        <v>56</v>
      </c>
      <c r="D107" t="s">
        <v>110</v>
      </c>
      <c r="E107" t="s">
        <v>360</v>
      </c>
      <c r="F107" t="s">
        <v>361</v>
      </c>
      <c r="G107" t="s">
        <v>52</v>
      </c>
      <c r="H107" t="s">
        <v>73</v>
      </c>
      <c r="I107" t="s">
        <v>74</v>
      </c>
      <c r="J107" t="s">
        <v>44</v>
      </c>
      <c r="K107">
        <v>1</v>
      </c>
    </row>
    <row r="108" spans="2:11" x14ac:dyDescent="0.3">
      <c r="B108" t="s">
        <v>362</v>
      </c>
      <c r="C108" t="s">
        <v>56</v>
      </c>
      <c r="D108" t="s">
        <v>110</v>
      </c>
      <c r="E108" t="s">
        <v>245</v>
      </c>
      <c r="F108" t="s">
        <v>246</v>
      </c>
      <c r="G108" t="s">
        <v>52</v>
      </c>
      <c r="H108" t="s">
        <v>73</v>
      </c>
      <c r="I108" t="s">
        <v>74</v>
      </c>
      <c r="J108" t="s">
        <v>44</v>
      </c>
      <c r="K108">
        <v>2</v>
      </c>
    </row>
    <row r="109" spans="2:11" x14ac:dyDescent="0.3">
      <c r="B109" t="s">
        <v>433</v>
      </c>
      <c r="C109" t="s">
        <v>56</v>
      </c>
      <c r="D109" t="s">
        <v>145</v>
      </c>
      <c r="E109" t="s">
        <v>360</v>
      </c>
      <c r="F109" t="s">
        <v>361</v>
      </c>
      <c r="G109" t="s">
        <v>52</v>
      </c>
      <c r="H109" t="s">
        <v>73</v>
      </c>
      <c r="I109" t="s">
        <v>74</v>
      </c>
      <c r="J109" t="s">
        <v>44</v>
      </c>
      <c r="K109">
        <v>1</v>
      </c>
    </row>
    <row r="110" spans="2:11" x14ac:dyDescent="0.3">
      <c r="B110" t="s">
        <v>434</v>
      </c>
      <c r="C110" t="s">
        <v>56</v>
      </c>
      <c r="D110" t="s">
        <v>110</v>
      </c>
      <c r="E110" t="s">
        <v>360</v>
      </c>
      <c r="F110" t="s">
        <v>361</v>
      </c>
      <c r="G110" t="s">
        <v>52</v>
      </c>
      <c r="H110" t="s">
        <v>73</v>
      </c>
      <c r="I110" t="s">
        <v>74</v>
      </c>
      <c r="J110" t="s">
        <v>44</v>
      </c>
      <c r="K110">
        <v>1</v>
      </c>
    </row>
    <row r="111" spans="2:11" x14ac:dyDescent="0.3">
      <c r="B111" t="s">
        <v>434</v>
      </c>
      <c r="C111" t="s">
        <v>56</v>
      </c>
      <c r="D111" t="s">
        <v>145</v>
      </c>
      <c r="E111" t="s">
        <v>360</v>
      </c>
      <c r="F111" t="s">
        <v>361</v>
      </c>
      <c r="G111" t="s">
        <v>52</v>
      </c>
      <c r="H111" t="s">
        <v>73</v>
      </c>
      <c r="I111" t="s">
        <v>74</v>
      </c>
      <c r="J111" t="s">
        <v>44</v>
      </c>
      <c r="K111">
        <v>2</v>
      </c>
    </row>
    <row r="112" spans="2:11" x14ac:dyDescent="0.3">
      <c r="B112" t="s">
        <v>363</v>
      </c>
      <c r="C112" t="s">
        <v>56</v>
      </c>
      <c r="D112" t="s">
        <v>110</v>
      </c>
      <c r="E112" t="s">
        <v>114</v>
      </c>
      <c r="F112" t="s">
        <v>115</v>
      </c>
      <c r="G112" t="s">
        <v>52</v>
      </c>
      <c r="H112" t="s">
        <v>73</v>
      </c>
      <c r="I112" t="s">
        <v>74</v>
      </c>
      <c r="J112" t="s">
        <v>44</v>
      </c>
      <c r="K112">
        <v>1</v>
      </c>
    </row>
    <row r="113" spans="2:11" x14ac:dyDescent="0.3">
      <c r="B113" t="s">
        <v>363</v>
      </c>
      <c r="C113" t="s">
        <v>56</v>
      </c>
      <c r="D113" t="s">
        <v>110</v>
      </c>
      <c r="E113" t="s">
        <v>114</v>
      </c>
      <c r="F113" t="s">
        <v>115</v>
      </c>
      <c r="G113" t="s">
        <v>52</v>
      </c>
      <c r="H113" t="s">
        <v>73</v>
      </c>
      <c r="I113" t="s">
        <v>74</v>
      </c>
      <c r="J113" t="s">
        <v>44</v>
      </c>
      <c r="K113">
        <v>1</v>
      </c>
    </row>
    <row r="114" spans="2:11" x14ac:dyDescent="0.3">
      <c r="B114" t="s">
        <v>364</v>
      </c>
      <c r="C114" t="s">
        <v>56</v>
      </c>
      <c r="D114" t="s">
        <v>110</v>
      </c>
      <c r="E114" t="s">
        <v>159</v>
      </c>
      <c r="F114" t="s">
        <v>160</v>
      </c>
      <c r="G114" t="s">
        <v>52</v>
      </c>
      <c r="H114" t="s">
        <v>73</v>
      </c>
      <c r="I114" t="s">
        <v>74</v>
      </c>
      <c r="J114" t="s">
        <v>44</v>
      </c>
      <c r="K114">
        <v>1</v>
      </c>
    </row>
    <row r="115" spans="2:11" x14ac:dyDescent="0.3">
      <c r="B115" t="s">
        <v>365</v>
      </c>
      <c r="C115" t="s">
        <v>56</v>
      </c>
      <c r="D115" t="s">
        <v>144</v>
      </c>
      <c r="E115" t="s">
        <v>146</v>
      </c>
      <c r="F115" t="s">
        <v>147</v>
      </c>
      <c r="G115" t="s">
        <v>52</v>
      </c>
      <c r="H115" t="s">
        <v>73</v>
      </c>
      <c r="I115" t="s">
        <v>74</v>
      </c>
      <c r="J115" t="s">
        <v>44</v>
      </c>
      <c r="K115">
        <v>1</v>
      </c>
    </row>
    <row r="116" spans="2:11" x14ac:dyDescent="0.3">
      <c r="B116" t="s">
        <v>366</v>
      </c>
      <c r="C116" t="s">
        <v>56</v>
      </c>
      <c r="D116" t="s">
        <v>110</v>
      </c>
      <c r="E116" t="s">
        <v>98</v>
      </c>
      <c r="F116" t="s">
        <v>99</v>
      </c>
      <c r="G116" t="s">
        <v>52</v>
      </c>
      <c r="H116" t="s">
        <v>73</v>
      </c>
      <c r="I116" t="s">
        <v>74</v>
      </c>
      <c r="J116" t="s">
        <v>44</v>
      </c>
      <c r="K116">
        <v>1</v>
      </c>
    </row>
    <row r="117" spans="2:11" x14ac:dyDescent="0.3">
      <c r="B117" t="s">
        <v>367</v>
      </c>
      <c r="C117" t="s">
        <v>56</v>
      </c>
      <c r="D117" t="s">
        <v>108</v>
      </c>
      <c r="E117" t="s">
        <v>368</v>
      </c>
      <c r="F117" t="s">
        <v>369</v>
      </c>
      <c r="G117" t="s">
        <v>52</v>
      </c>
      <c r="H117" t="s">
        <v>73</v>
      </c>
      <c r="I117" t="s">
        <v>74</v>
      </c>
      <c r="J117" t="s">
        <v>44</v>
      </c>
      <c r="K117">
        <v>1</v>
      </c>
    </row>
    <row r="118" spans="2:11" x14ac:dyDescent="0.3">
      <c r="B118" t="s">
        <v>370</v>
      </c>
      <c r="C118" t="s">
        <v>56</v>
      </c>
      <c r="D118" t="s">
        <v>145</v>
      </c>
      <c r="E118" t="s">
        <v>150</v>
      </c>
      <c r="F118" t="s">
        <v>151</v>
      </c>
      <c r="G118" t="s">
        <v>52</v>
      </c>
      <c r="H118" t="s">
        <v>73</v>
      </c>
      <c r="I118" t="s">
        <v>74</v>
      </c>
      <c r="J118" t="s">
        <v>44</v>
      </c>
      <c r="K118">
        <v>1</v>
      </c>
    </row>
    <row r="119" spans="2:11" x14ac:dyDescent="0.3">
      <c r="B119" t="s">
        <v>371</v>
      </c>
      <c r="C119" t="s">
        <v>56</v>
      </c>
      <c r="D119" t="s">
        <v>108</v>
      </c>
      <c r="E119" t="s">
        <v>372</v>
      </c>
      <c r="F119" t="s">
        <v>373</v>
      </c>
      <c r="G119" t="s">
        <v>52</v>
      </c>
      <c r="H119" t="s">
        <v>73</v>
      </c>
      <c r="I119" t="s">
        <v>74</v>
      </c>
      <c r="J119" t="s">
        <v>44</v>
      </c>
      <c r="K119">
        <v>2</v>
      </c>
    </row>
    <row r="120" spans="2:11" x14ac:dyDescent="0.3">
      <c r="B120" t="s">
        <v>374</v>
      </c>
      <c r="C120" t="s">
        <v>56</v>
      </c>
      <c r="D120" t="s">
        <v>110</v>
      </c>
      <c r="E120" t="s">
        <v>98</v>
      </c>
      <c r="F120" t="s">
        <v>99</v>
      </c>
      <c r="G120" t="s">
        <v>52</v>
      </c>
      <c r="H120" t="s">
        <v>73</v>
      </c>
      <c r="I120" t="s">
        <v>74</v>
      </c>
      <c r="J120" t="s">
        <v>44</v>
      </c>
      <c r="K120">
        <v>2</v>
      </c>
    </row>
    <row r="121" spans="2:11" x14ac:dyDescent="0.3">
      <c r="B121" t="s">
        <v>384</v>
      </c>
      <c r="C121" t="s">
        <v>56</v>
      </c>
      <c r="D121" t="s">
        <v>149</v>
      </c>
      <c r="E121" t="s">
        <v>173</v>
      </c>
      <c r="F121" t="s">
        <v>174</v>
      </c>
      <c r="G121" t="s">
        <v>52</v>
      </c>
      <c r="H121" t="s">
        <v>70</v>
      </c>
      <c r="I121" t="s">
        <v>71</v>
      </c>
      <c r="J121" t="s">
        <v>44</v>
      </c>
      <c r="K121">
        <v>1</v>
      </c>
    </row>
    <row r="122" spans="2:11" x14ac:dyDescent="0.3">
      <c r="B122" t="s">
        <v>385</v>
      </c>
      <c r="C122" t="s">
        <v>260</v>
      </c>
      <c r="D122" t="s">
        <v>116</v>
      </c>
      <c r="E122" t="s">
        <v>117</v>
      </c>
      <c r="F122" t="s">
        <v>118</v>
      </c>
      <c r="G122" t="s">
        <v>52</v>
      </c>
      <c r="H122" t="s">
        <v>70</v>
      </c>
      <c r="I122" t="s">
        <v>71</v>
      </c>
      <c r="J122" t="s">
        <v>44</v>
      </c>
      <c r="K122">
        <v>1</v>
      </c>
    </row>
    <row r="123" spans="2:11" x14ac:dyDescent="0.3">
      <c r="B123" t="s">
        <v>375</v>
      </c>
      <c r="C123" t="s">
        <v>57</v>
      </c>
      <c r="D123" t="s">
        <v>103</v>
      </c>
      <c r="E123" t="s">
        <v>152</v>
      </c>
      <c r="F123" t="s">
        <v>153</v>
      </c>
      <c r="G123" t="s">
        <v>52</v>
      </c>
      <c r="H123" t="s">
        <v>73</v>
      </c>
      <c r="I123" t="s">
        <v>74</v>
      </c>
      <c r="J123" t="s">
        <v>44</v>
      </c>
      <c r="K123">
        <v>17</v>
      </c>
    </row>
    <row r="124" spans="2:11" x14ac:dyDescent="0.3">
      <c r="B124" t="s">
        <v>165</v>
      </c>
      <c r="C124" t="s">
        <v>57</v>
      </c>
      <c r="D124" t="s">
        <v>103</v>
      </c>
      <c r="E124" t="s">
        <v>166</v>
      </c>
      <c r="F124" t="s">
        <v>167</v>
      </c>
      <c r="G124" t="s">
        <v>52</v>
      </c>
      <c r="H124" t="s">
        <v>73</v>
      </c>
      <c r="I124" t="s">
        <v>74</v>
      </c>
      <c r="J124" t="s">
        <v>44</v>
      </c>
      <c r="K124">
        <v>2</v>
      </c>
    </row>
    <row r="125" spans="2:11" x14ac:dyDescent="0.3">
      <c r="B125" t="s">
        <v>165</v>
      </c>
      <c r="C125" t="s">
        <v>57</v>
      </c>
      <c r="D125" t="s">
        <v>103</v>
      </c>
      <c r="E125" t="s">
        <v>166</v>
      </c>
      <c r="F125" t="s">
        <v>167</v>
      </c>
      <c r="G125" t="s">
        <v>52</v>
      </c>
      <c r="H125" t="s">
        <v>73</v>
      </c>
      <c r="I125" t="s">
        <v>74</v>
      </c>
      <c r="J125" t="s">
        <v>44</v>
      </c>
      <c r="K125">
        <v>13</v>
      </c>
    </row>
    <row r="126" spans="2:11" x14ac:dyDescent="0.3">
      <c r="B126" t="s">
        <v>168</v>
      </c>
      <c r="C126" t="s">
        <v>57</v>
      </c>
      <c r="D126" t="s">
        <v>103</v>
      </c>
      <c r="E126" t="s">
        <v>152</v>
      </c>
      <c r="F126" t="s">
        <v>153</v>
      </c>
      <c r="G126" t="s">
        <v>52</v>
      </c>
      <c r="H126" t="s">
        <v>73</v>
      </c>
      <c r="I126" t="s">
        <v>74</v>
      </c>
      <c r="J126" t="s">
        <v>44</v>
      </c>
      <c r="K126">
        <v>18</v>
      </c>
    </row>
    <row r="127" spans="2:11" x14ac:dyDescent="0.3">
      <c r="B127" t="s">
        <v>376</v>
      </c>
      <c r="C127" t="s">
        <v>57</v>
      </c>
      <c r="D127" t="s">
        <v>103</v>
      </c>
      <c r="E127" t="s">
        <v>104</v>
      </c>
      <c r="F127" t="s">
        <v>105</v>
      </c>
      <c r="G127" t="s">
        <v>52</v>
      </c>
      <c r="H127" t="s">
        <v>73</v>
      </c>
      <c r="I127" t="s">
        <v>74</v>
      </c>
      <c r="J127" t="s">
        <v>44</v>
      </c>
      <c r="K127">
        <v>1</v>
      </c>
    </row>
    <row r="128" spans="2:11" x14ac:dyDescent="0.3">
      <c r="B128" t="s">
        <v>376</v>
      </c>
      <c r="C128" t="s">
        <v>57</v>
      </c>
      <c r="D128" t="s">
        <v>103</v>
      </c>
      <c r="E128" t="s">
        <v>104</v>
      </c>
      <c r="F128" t="s">
        <v>105</v>
      </c>
      <c r="G128" t="s">
        <v>52</v>
      </c>
      <c r="H128" t="s">
        <v>73</v>
      </c>
      <c r="I128" t="s">
        <v>74</v>
      </c>
      <c r="J128" t="s">
        <v>44</v>
      </c>
      <c r="K128">
        <v>38</v>
      </c>
    </row>
    <row r="129" spans="2:11" x14ac:dyDescent="0.3">
      <c r="B129" t="s">
        <v>376</v>
      </c>
      <c r="C129" t="s">
        <v>57</v>
      </c>
      <c r="D129" t="s">
        <v>103</v>
      </c>
      <c r="E129" t="s">
        <v>104</v>
      </c>
      <c r="F129" t="s">
        <v>105</v>
      </c>
      <c r="G129" t="s">
        <v>52</v>
      </c>
      <c r="H129" t="s">
        <v>73</v>
      </c>
      <c r="I129" t="s">
        <v>74</v>
      </c>
      <c r="J129" t="s">
        <v>44</v>
      </c>
      <c r="K129">
        <v>6</v>
      </c>
    </row>
    <row r="130" spans="2:11" x14ac:dyDescent="0.3">
      <c r="B130" t="s">
        <v>376</v>
      </c>
      <c r="C130" t="s">
        <v>57</v>
      </c>
      <c r="D130" t="s">
        <v>103</v>
      </c>
      <c r="E130" t="s">
        <v>104</v>
      </c>
      <c r="F130" t="s">
        <v>105</v>
      </c>
      <c r="G130" t="s">
        <v>52</v>
      </c>
      <c r="H130" t="s">
        <v>73</v>
      </c>
      <c r="I130" t="s">
        <v>74</v>
      </c>
      <c r="J130" t="s">
        <v>44</v>
      </c>
      <c r="K130">
        <v>28</v>
      </c>
    </row>
    <row r="131" spans="2:11" x14ac:dyDescent="0.3">
      <c r="B131" t="s">
        <v>376</v>
      </c>
      <c r="C131" t="s">
        <v>57</v>
      </c>
      <c r="D131" t="s">
        <v>103</v>
      </c>
      <c r="E131" t="s">
        <v>104</v>
      </c>
      <c r="F131" t="s">
        <v>105</v>
      </c>
      <c r="G131" t="s">
        <v>52</v>
      </c>
      <c r="H131" t="s">
        <v>73</v>
      </c>
      <c r="I131" t="s">
        <v>74</v>
      </c>
      <c r="J131" t="s">
        <v>44</v>
      </c>
      <c r="K131">
        <v>1</v>
      </c>
    </row>
    <row r="132" spans="2:11" x14ac:dyDescent="0.3">
      <c r="B132" t="s">
        <v>377</v>
      </c>
      <c r="C132" t="s">
        <v>57</v>
      </c>
      <c r="D132" t="s">
        <v>103</v>
      </c>
      <c r="E132" t="s">
        <v>166</v>
      </c>
      <c r="F132" t="s">
        <v>167</v>
      </c>
      <c r="G132" t="s">
        <v>52</v>
      </c>
      <c r="H132" t="s">
        <v>73</v>
      </c>
      <c r="I132" t="s">
        <v>74</v>
      </c>
      <c r="J132" t="s">
        <v>44</v>
      </c>
      <c r="K132">
        <v>8</v>
      </c>
    </row>
    <row r="133" spans="2:11" x14ac:dyDescent="0.3">
      <c r="B133" t="s">
        <v>386</v>
      </c>
      <c r="C133" t="s">
        <v>57</v>
      </c>
      <c r="D133" t="s">
        <v>113</v>
      </c>
      <c r="E133" t="s">
        <v>173</v>
      </c>
      <c r="F133" t="s">
        <v>174</v>
      </c>
      <c r="G133" t="s">
        <v>52</v>
      </c>
      <c r="H133" t="s">
        <v>70</v>
      </c>
      <c r="I133" t="s">
        <v>71</v>
      </c>
      <c r="J133" t="s">
        <v>44</v>
      </c>
      <c r="K133">
        <v>1</v>
      </c>
    </row>
    <row r="134" spans="2:11" x14ac:dyDescent="0.3">
      <c r="B134" t="s">
        <v>386</v>
      </c>
      <c r="C134" t="s">
        <v>57</v>
      </c>
      <c r="D134" t="s">
        <v>103</v>
      </c>
      <c r="E134" t="s">
        <v>173</v>
      </c>
      <c r="F134" t="s">
        <v>174</v>
      </c>
      <c r="G134" t="s">
        <v>52</v>
      </c>
      <c r="H134" t="s">
        <v>70</v>
      </c>
      <c r="I134" t="s">
        <v>71</v>
      </c>
      <c r="J134" t="s">
        <v>44</v>
      </c>
      <c r="K134">
        <v>1</v>
      </c>
    </row>
    <row r="135" spans="2:11" x14ac:dyDescent="0.3">
      <c r="B135" t="s">
        <v>386</v>
      </c>
      <c r="C135" t="s">
        <v>57</v>
      </c>
      <c r="D135" t="s">
        <v>163</v>
      </c>
      <c r="E135" t="s">
        <v>173</v>
      </c>
      <c r="F135" t="s">
        <v>174</v>
      </c>
      <c r="G135" t="s">
        <v>52</v>
      </c>
      <c r="H135" t="s">
        <v>70</v>
      </c>
      <c r="I135" t="s">
        <v>71</v>
      </c>
      <c r="J135" t="s">
        <v>44</v>
      </c>
      <c r="K135">
        <v>1</v>
      </c>
    </row>
    <row r="136" spans="2:11" x14ac:dyDescent="0.3">
      <c r="B136" t="s">
        <v>387</v>
      </c>
      <c r="C136" t="s">
        <v>57</v>
      </c>
      <c r="D136" t="s">
        <v>198</v>
      </c>
      <c r="E136" t="s">
        <v>128</v>
      </c>
      <c r="F136" t="s">
        <v>129</v>
      </c>
      <c r="G136" t="s">
        <v>52</v>
      </c>
      <c r="H136" t="s">
        <v>70</v>
      </c>
      <c r="I136" t="s">
        <v>71</v>
      </c>
      <c r="J136" t="s">
        <v>44</v>
      </c>
      <c r="K136">
        <v>1</v>
      </c>
    </row>
    <row r="137" spans="2:11" x14ac:dyDescent="0.3">
      <c r="B137" t="s">
        <v>388</v>
      </c>
      <c r="C137" t="s">
        <v>60</v>
      </c>
      <c r="D137" t="s">
        <v>171</v>
      </c>
      <c r="E137" t="s">
        <v>173</v>
      </c>
      <c r="F137" t="s">
        <v>174</v>
      </c>
      <c r="G137" t="s">
        <v>52</v>
      </c>
      <c r="H137" t="s">
        <v>70</v>
      </c>
      <c r="I137" t="s">
        <v>71</v>
      </c>
      <c r="J137" t="s">
        <v>44</v>
      </c>
      <c r="K137">
        <v>1</v>
      </c>
    </row>
    <row r="138" spans="2:11" x14ac:dyDescent="0.3">
      <c r="B138" t="s">
        <v>378</v>
      </c>
      <c r="C138" t="s">
        <v>56</v>
      </c>
      <c r="D138" t="s">
        <v>157</v>
      </c>
      <c r="E138" t="s">
        <v>379</v>
      </c>
      <c r="F138" t="s">
        <v>380</v>
      </c>
      <c r="G138" t="s">
        <v>54</v>
      </c>
      <c r="H138" t="s">
        <v>73</v>
      </c>
      <c r="I138" t="s">
        <v>74</v>
      </c>
      <c r="J138" t="s">
        <v>72</v>
      </c>
      <c r="K138">
        <v>2</v>
      </c>
    </row>
    <row r="139" spans="2:11" x14ac:dyDescent="0.3">
      <c r="B139" t="s">
        <v>220</v>
      </c>
      <c r="C139" t="s">
        <v>57</v>
      </c>
      <c r="D139" t="s">
        <v>103</v>
      </c>
      <c r="E139" t="s">
        <v>106</v>
      </c>
      <c r="F139" t="s">
        <v>107</v>
      </c>
      <c r="G139" t="s">
        <v>54</v>
      </c>
      <c r="H139" t="s">
        <v>73</v>
      </c>
      <c r="I139" t="s">
        <v>74</v>
      </c>
      <c r="J139" t="s">
        <v>44</v>
      </c>
      <c r="K139">
        <v>1</v>
      </c>
    </row>
    <row r="140" spans="2:11" x14ac:dyDescent="0.3">
      <c r="B140" t="s">
        <v>381</v>
      </c>
      <c r="C140" t="s">
        <v>57</v>
      </c>
      <c r="D140" t="s">
        <v>103</v>
      </c>
      <c r="E140" t="s">
        <v>104</v>
      </c>
      <c r="F140" t="s">
        <v>105</v>
      </c>
      <c r="G140" t="s">
        <v>54</v>
      </c>
      <c r="H140" t="s">
        <v>75</v>
      </c>
      <c r="I140" t="s">
        <v>77</v>
      </c>
      <c r="J140" t="s">
        <v>72</v>
      </c>
      <c r="K140">
        <v>1</v>
      </c>
    </row>
    <row r="141" spans="2:11" x14ac:dyDescent="0.3">
      <c r="B141" t="s">
        <v>381</v>
      </c>
      <c r="C141" t="s">
        <v>57</v>
      </c>
      <c r="D141" t="s">
        <v>103</v>
      </c>
      <c r="E141" t="s">
        <v>104</v>
      </c>
      <c r="F141" t="s">
        <v>105</v>
      </c>
      <c r="G141" t="s">
        <v>54</v>
      </c>
      <c r="H141" t="s">
        <v>75</v>
      </c>
      <c r="I141" t="s">
        <v>77</v>
      </c>
      <c r="J141" t="s">
        <v>72</v>
      </c>
      <c r="K141">
        <v>41</v>
      </c>
    </row>
    <row r="142" spans="2:11" x14ac:dyDescent="0.3">
      <c r="B142" t="s">
        <v>382</v>
      </c>
      <c r="C142" t="s">
        <v>57</v>
      </c>
      <c r="D142" t="s">
        <v>103</v>
      </c>
      <c r="E142" t="s">
        <v>161</v>
      </c>
      <c r="F142" t="s">
        <v>162</v>
      </c>
      <c r="G142" t="s">
        <v>54</v>
      </c>
      <c r="H142" t="s">
        <v>75</v>
      </c>
      <c r="I142" t="s">
        <v>77</v>
      </c>
      <c r="J142" t="s">
        <v>72</v>
      </c>
      <c r="K142">
        <v>32</v>
      </c>
    </row>
    <row r="143" spans="2:11" x14ac:dyDescent="0.3">
      <c r="G143" s="29" t="s">
        <v>45</v>
      </c>
      <c r="H143" s="29" t="s">
        <v>70</v>
      </c>
      <c r="I143" s="29" t="s">
        <v>71</v>
      </c>
      <c r="J143" s="29" t="s">
        <v>72</v>
      </c>
    </row>
    <row r="144" spans="2:11" x14ac:dyDescent="0.3">
      <c r="G144" s="29" t="s">
        <v>46</v>
      </c>
      <c r="H144" s="29" t="s">
        <v>70</v>
      </c>
      <c r="I144" s="29" t="s">
        <v>71</v>
      </c>
      <c r="J144" s="29" t="s">
        <v>72</v>
      </c>
    </row>
    <row r="145" spans="7:10" x14ac:dyDescent="0.3">
      <c r="G145" s="29" t="s">
        <v>47</v>
      </c>
      <c r="H145" s="29" t="s">
        <v>70</v>
      </c>
      <c r="I145" s="29" t="s">
        <v>71</v>
      </c>
      <c r="J145" s="29" t="s">
        <v>72</v>
      </c>
    </row>
    <row r="146" spans="7:10" x14ac:dyDescent="0.3">
      <c r="G146" s="29" t="s">
        <v>48</v>
      </c>
      <c r="H146" s="29" t="s">
        <v>70</v>
      </c>
      <c r="I146" s="29" t="s">
        <v>71</v>
      </c>
      <c r="J146" s="29" t="s">
        <v>72</v>
      </c>
    </row>
    <row r="147" spans="7:10" x14ac:dyDescent="0.3">
      <c r="G147" s="29" t="s">
        <v>49</v>
      </c>
      <c r="H147" s="29" t="s">
        <v>70</v>
      </c>
      <c r="I147" s="29" t="s">
        <v>71</v>
      </c>
      <c r="J147" s="29" t="s">
        <v>72</v>
      </c>
    </row>
    <row r="148" spans="7:10" x14ac:dyDescent="0.3">
      <c r="G148" s="29" t="s">
        <v>50</v>
      </c>
      <c r="H148" s="29" t="s">
        <v>70</v>
      </c>
      <c r="I148" s="29" t="s">
        <v>71</v>
      </c>
      <c r="J148" s="29" t="s">
        <v>72</v>
      </c>
    </row>
    <row r="149" spans="7:10" x14ac:dyDescent="0.3">
      <c r="G149" s="29" t="s">
        <v>51</v>
      </c>
      <c r="H149" s="29" t="s">
        <v>70</v>
      </c>
      <c r="I149" s="29" t="s">
        <v>71</v>
      </c>
      <c r="J149" s="29" t="s">
        <v>72</v>
      </c>
    </row>
    <row r="150" spans="7:10" x14ac:dyDescent="0.3">
      <c r="G150" s="29" t="s">
        <v>52</v>
      </c>
      <c r="H150" s="29" t="s">
        <v>70</v>
      </c>
      <c r="I150" s="29" t="s">
        <v>71</v>
      </c>
      <c r="J150" s="29" t="s">
        <v>72</v>
      </c>
    </row>
    <row r="151" spans="7:10" x14ac:dyDescent="0.3">
      <c r="G151" s="29" t="s">
        <v>53</v>
      </c>
      <c r="H151" s="29" t="s">
        <v>70</v>
      </c>
      <c r="I151" s="29" t="s">
        <v>71</v>
      </c>
      <c r="J151" s="29" t="s">
        <v>72</v>
      </c>
    </row>
    <row r="152" spans="7:10" x14ac:dyDescent="0.3">
      <c r="G152" s="29" t="s">
        <v>78</v>
      </c>
      <c r="H152" s="29" t="s">
        <v>70</v>
      </c>
      <c r="I152" s="29" t="s">
        <v>71</v>
      </c>
      <c r="J152" s="29" t="s">
        <v>72</v>
      </c>
    </row>
    <row r="153" spans="7:10" x14ac:dyDescent="0.3">
      <c r="G153" s="29" t="s">
        <v>54</v>
      </c>
      <c r="H153" s="29" t="s">
        <v>70</v>
      </c>
      <c r="I153" s="29" t="s">
        <v>71</v>
      </c>
      <c r="J153" s="29" t="s">
        <v>72</v>
      </c>
    </row>
    <row r="154" spans="7:10" x14ac:dyDescent="0.3">
      <c r="G154" s="29" t="s">
        <v>45</v>
      </c>
      <c r="H154" s="29" t="s">
        <v>73</v>
      </c>
      <c r="I154" s="29" t="s">
        <v>74</v>
      </c>
      <c r="J154" s="29" t="s">
        <v>72</v>
      </c>
    </row>
    <row r="155" spans="7:10" x14ac:dyDescent="0.3">
      <c r="G155" s="29" t="s">
        <v>46</v>
      </c>
      <c r="H155" s="29" t="s">
        <v>73</v>
      </c>
      <c r="I155" s="29" t="s">
        <v>74</v>
      </c>
      <c r="J155" s="29" t="s">
        <v>72</v>
      </c>
    </row>
    <row r="156" spans="7:10" x14ac:dyDescent="0.3">
      <c r="G156" s="29" t="s">
        <v>47</v>
      </c>
      <c r="H156" s="29" t="s">
        <v>73</v>
      </c>
      <c r="I156" s="29" t="s">
        <v>74</v>
      </c>
      <c r="J156" s="29" t="s">
        <v>72</v>
      </c>
    </row>
    <row r="157" spans="7:10" x14ac:dyDescent="0.3">
      <c r="G157" s="29" t="s">
        <v>48</v>
      </c>
      <c r="H157" s="29" t="s">
        <v>73</v>
      </c>
      <c r="I157" s="29" t="s">
        <v>74</v>
      </c>
      <c r="J157" s="29" t="s">
        <v>72</v>
      </c>
    </row>
    <row r="158" spans="7:10" x14ac:dyDescent="0.3">
      <c r="G158" s="29" t="s">
        <v>49</v>
      </c>
      <c r="H158" s="29" t="s">
        <v>73</v>
      </c>
      <c r="I158" s="29" t="s">
        <v>74</v>
      </c>
      <c r="J158" s="29" t="s">
        <v>72</v>
      </c>
    </row>
    <row r="159" spans="7:10" x14ac:dyDescent="0.3">
      <c r="G159" s="29" t="s">
        <v>50</v>
      </c>
      <c r="H159" s="29" t="s">
        <v>73</v>
      </c>
      <c r="I159" s="29" t="s">
        <v>74</v>
      </c>
      <c r="J159" s="29" t="s">
        <v>72</v>
      </c>
    </row>
    <row r="160" spans="7:10" x14ac:dyDescent="0.3">
      <c r="G160" s="29" t="s">
        <v>51</v>
      </c>
      <c r="H160" s="29" t="s">
        <v>73</v>
      </c>
      <c r="I160" s="29" t="s">
        <v>74</v>
      </c>
      <c r="J160" s="29" t="s">
        <v>72</v>
      </c>
    </row>
    <row r="161" spans="7:10" x14ac:dyDescent="0.3">
      <c r="G161" s="29" t="s">
        <v>52</v>
      </c>
      <c r="H161" s="29" t="s">
        <v>73</v>
      </c>
      <c r="I161" s="29" t="s">
        <v>74</v>
      </c>
      <c r="J161" s="29" t="s">
        <v>72</v>
      </c>
    </row>
    <row r="162" spans="7:10" x14ac:dyDescent="0.3">
      <c r="G162" s="29" t="s">
        <v>53</v>
      </c>
      <c r="H162" s="29" t="s">
        <v>73</v>
      </c>
      <c r="I162" s="29" t="s">
        <v>74</v>
      </c>
      <c r="J162" s="29" t="s">
        <v>72</v>
      </c>
    </row>
    <row r="163" spans="7:10" x14ac:dyDescent="0.3">
      <c r="G163" s="29" t="s">
        <v>54</v>
      </c>
      <c r="H163" s="29" t="s">
        <v>73</v>
      </c>
      <c r="I163" s="29" t="s">
        <v>74</v>
      </c>
      <c r="J163" s="29" t="s">
        <v>72</v>
      </c>
    </row>
    <row r="164" spans="7:10" x14ac:dyDescent="0.3">
      <c r="G164" s="29" t="s">
        <v>78</v>
      </c>
      <c r="H164" s="29" t="s">
        <v>73</v>
      </c>
      <c r="I164" s="29" t="s">
        <v>74</v>
      </c>
      <c r="J164" s="29" t="s">
        <v>72</v>
      </c>
    </row>
    <row r="165" spans="7:10" x14ac:dyDescent="0.3">
      <c r="G165" s="29" t="s">
        <v>78</v>
      </c>
      <c r="H165" s="29" t="s">
        <v>75</v>
      </c>
      <c r="I165" s="29" t="s">
        <v>76</v>
      </c>
      <c r="J165" s="29" t="s">
        <v>72</v>
      </c>
    </row>
    <row r="166" spans="7:10" x14ac:dyDescent="0.3">
      <c r="G166" s="29" t="s">
        <v>46</v>
      </c>
      <c r="H166" s="29" t="s">
        <v>75</v>
      </c>
      <c r="I166" s="29" t="s">
        <v>76</v>
      </c>
      <c r="J166" s="29" t="s">
        <v>72</v>
      </c>
    </row>
    <row r="167" spans="7:10" x14ac:dyDescent="0.3">
      <c r="G167" s="29" t="s">
        <v>47</v>
      </c>
      <c r="H167" s="29" t="s">
        <v>75</v>
      </c>
      <c r="I167" s="29" t="s">
        <v>76</v>
      </c>
      <c r="J167" s="29" t="s">
        <v>72</v>
      </c>
    </row>
    <row r="168" spans="7:10" x14ac:dyDescent="0.3">
      <c r="G168" s="29" t="s">
        <v>48</v>
      </c>
      <c r="H168" s="29" t="s">
        <v>75</v>
      </c>
      <c r="I168" s="29" t="s">
        <v>76</v>
      </c>
      <c r="J168" s="29" t="s">
        <v>72</v>
      </c>
    </row>
    <row r="169" spans="7:10" x14ac:dyDescent="0.3">
      <c r="G169" s="29" t="s">
        <v>49</v>
      </c>
      <c r="H169" s="29" t="s">
        <v>75</v>
      </c>
      <c r="I169" s="29" t="s">
        <v>76</v>
      </c>
      <c r="J169" s="29" t="s">
        <v>72</v>
      </c>
    </row>
    <row r="170" spans="7:10" x14ac:dyDescent="0.3">
      <c r="G170" s="29" t="s">
        <v>50</v>
      </c>
      <c r="H170" s="29" t="s">
        <v>75</v>
      </c>
      <c r="I170" s="29" t="s">
        <v>76</v>
      </c>
      <c r="J170" s="29" t="s">
        <v>72</v>
      </c>
    </row>
    <row r="171" spans="7:10" x14ac:dyDescent="0.3">
      <c r="G171" s="29" t="s">
        <v>51</v>
      </c>
      <c r="H171" s="29" t="s">
        <v>75</v>
      </c>
      <c r="I171" s="29" t="s">
        <v>76</v>
      </c>
      <c r="J171" s="29" t="s">
        <v>72</v>
      </c>
    </row>
    <row r="172" spans="7:10" x14ac:dyDescent="0.3">
      <c r="G172" s="29" t="s">
        <v>52</v>
      </c>
      <c r="H172" s="29" t="s">
        <v>75</v>
      </c>
      <c r="I172" s="29" t="s">
        <v>76</v>
      </c>
      <c r="J172" s="29" t="s">
        <v>72</v>
      </c>
    </row>
    <row r="173" spans="7:10" x14ac:dyDescent="0.3">
      <c r="G173" s="29" t="s">
        <v>53</v>
      </c>
      <c r="H173" s="29" t="s">
        <v>75</v>
      </c>
      <c r="I173" s="29" t="s">
        <v>76</v>
      </c>
      <c r="J173" s="29" t="s">
        <v>72</v>
      </c>
    </row>
    <row r="174" spans="7:10" x14ac:dyDescent="0.3">
      <c r="G174" s="29" t="s">
        <v>54</v>
      </c>
      <c r="H174" s="29" t="s">
        <v>75</v>
      </c>
      <c r="I174" s="29" t="s">
        <v>76</v>
      </c>
      <c r="J174" s="29" t="s">
        <v>72</v>
      </c>
    </row>
    <row r="175" spans="7:10" x14ac:dyDescent="0.3">
      <c r="G175" s="29" t="s">
        <v>45</v>
      </c>
      <c r="H175" s="29" t="s">
        <v>75</v>
      </c>
      <c r="I175" s="29" t="s">
        <v>76</v>
      </c>
      <c r="J175" s="29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Values</vt:lpstr>
      <vt:lpstr>PivotTable</vt:lpstr>
      <vt:lpstr>Data</vt:lpstr>
      <vt:lpstr>Reval_PivotTable</vt:lpstr>
      <vt:lpstr>Revalidation</vt:lpstr>
      <vt:lpstr>QC_PivotTable</vt:lpstr>
      <vt:lpstr>QC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Yadhu Krishna vs</dc:creator>
  <cp:lastModifiedBy>Yadhu Krishna vs</cp:lastModifiedBy>
  <dcterms:created xsi:type="dcterms:W3CDTF">2021-08-11T08:39:36Z</dcterms:created>
  <dcterms:modified xsi:type="dcterms:W3CDTF">2022-01-25T03:59:31Z</dcterms:modified>
</cp:coreProperties>
</file>